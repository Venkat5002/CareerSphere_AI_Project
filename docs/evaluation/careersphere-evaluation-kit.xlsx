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Label pairs" sheetId="2" state="visible" r:id="rId4"/>
    <sheet name="Predictions" sheetId="3" state="visible" r:id="rId5"/>
    <sheet name="Resul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Y when at least 2 of the 3 labelers say Y. Blank until all three have labeled the row.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Exported from CareerSphere's MatchService rule on the demo data (3 Oct 2026): share of required skills the student has.</t>
        </r>
      </text>
    </comment>
    <comment ref="G1" authorId="0">
      <text>
        <r>
          <rPr>
            <sz val="10"/>
            <rFont val="Arial"/>
            <family val="2"/>
          </rPr>
          <t xml:space="preserve">Number of skills the student and the job have in common, exported from the demo data.</t>
        </r>
      </text>
    </comment>
  </commentList>
</comments>
</file>

<file path=xl/sharedStrings.xml><?xml version="1.0" encoding="utf-8"?>
<sst xmlns="http://schemas.openxmlformats.org/spreadsheetml/2006/main" count="599" uniqueCount="210">
  <si>
    <t xml:space="preserve">CareerSphere AI: matching evaluation kit</t>
  </si>
  <si>
    <t xml:space="preserve">Question: does CareerSphere's match rule agree with human judgment better than plain keyword matching?</t>
  </si>
  <si>
    <t xml:space="preserve">How to label (each of 3 people, separately)</t>
  </si>
  <si>
    <t xml:space="preserve">1. Open the "Label pairs" sheet only. Do not look at "Predictions" or "Results" until all labels are in, so the scores cannot influence you.</t>
  </si>
  <si>
    <t xml:space="preserve">2. For each row, read the student's skills and CGPA and the job's required skills and CGPA cutoff.</t>
  </si>
  <si>
    <t xml:space="preserve">3. Answer: "Would I advise this student to apply now, with a fair chance of being shortlisted?" Type Y or N in your yellow column.</t>
  </si>
  <si>
    <t xml:space="preserve">4. Judge the fit yourself. Don't count skills mechanically; use what a placement mentor would think.</t>
  </si>
  <si>
    <t xml:space="preserve">5. Labeler 1, 2 and 3 should be different people (for example you and two teammates or seniors).</t>
  </si>
  <si>
    <t xml:space="preserve">Example of a filled row (not part of the data):</t>
  </si>
  <si>
    <t xml:space="preserve">Student skills: Java, SQL, Git  |  CGPA 7.8  |  Job: Software Engineer Trainee needs Java, SQL, Git, Data Structures, min CGPA 6.5  |  Labels: Y, Y, N  -&gt;  Majority Y</t>
  </si>
  <si>
    <t xml:space="preserve">Cells you edit</t>
  </si>
  <si>
    <t xml:space="preserve">Yellow cells only: the three label columns in "Label pairs", and the two settings in "Results" (match threshold and keyword minimum).</t>
  </si>
  <si>
    <t xml:space="preserve">Everything else is calculated. Results show "-" until at least one pair has all three labels.</t>
  </si>
  <si>
    <t xml:space="preserve">The two methods compared</t>
  </si>
  <si>
    <t xml:space="preserve">CareerSphere: predicts a fit when the student has at least 70% of the job's required skills AND meets the CGPA cutoff (the same rule as the app).</t>
  </si>
  <si>
    <t xml:space="preserve">Keyword baseline: predicts a fit when the student shares at least 2 skills with the job, ignoring how many the job needs and ignoring CGPA, like a simple keyword filter.</t>
  </si>
  <si>
    <t xml:space="preserve">Where the data comes from</t>
  </si>
  <si>
    <t xml:space="preserve">60 student-job pairs from the CareerSphere demo batch (35 fictional students x 12 open jobs = 420 pairs), sampled with a fixed seed:</t>
  </si>
  <si>
    <t xml:space="preserve">20 pairs scoring below 40%, 20 scoring 40-69%, 20 scoring 70% or more, then shuffled. Scores were exported from the app's matching rules on 3 Oct 2026.</t>
  </si>
  <si>
    <t xml:space="preserve">Sampling evenly across score bands keeps the test fair: a random sample would be mostly obvious "no" cases.</t>
  </si>
  <si>
    <t xml:space="preserve">Reading the results</t>
  </si>
  <si>
    <t xml:space="preserve">Accuracy: share of pairs where the method agrees with the human majority. Precision: of the pairs a method calls a fit, how many humans agree are fits.</t>
  </si>
  <si>
    <t xml:space="preserve">Recall: of the pairs humans call fits, how many the method finds. F1 balances the two. Labeler agreement shows how consistent the humans themselves were.</t>
  </si>
  <si>
    <t xml:space="preserve">Report whatever the numbers turn out to be, including if the baseline wins on some measure. An honest result is worth more than a flattering one.</t>
  </si>
  <si>
    <t xml:space="preserve">Pair</t>
  </si>
  <si>
    <t xml:space="preserve">Student</t>
  </si>
  <si>
    <t xml:space="preserve">Branch</t>
  </si>
  <si>
    <t xml:space="preserve">CGPA</t>
  </si>
  <si>
    <t xml:space="preserve">Student skills</t>
  </si>
  <si>
    <t xml:space="preserve">Job</t>
  </si>
  <si>
    <t xml:space="preserve">Company</t>
  </si>
  <si>
    <t xml:space="preserve">Required skills</t>
  </si>
  <si>
    <t xml:space="preserve">Min CGPA</t>
  </si>
  <si>
    <t xml:space="preserve">Labeler 1 (Y/N)</t>
  </si>
  <si>
    <t xml:space="preserve">Labeler 2 (Y/N)</t>
  </si>
  <si>
    <t xml:space="preserve">Labeler 3 (Y/N)</t>
  </si>
  <si>
    <t xml:space="preserve">Human majority</t>
  </si>
  <si>
    <t xml:space="preserve">P01</t>
  </si>
  <si>
    <t xml:space="preserve">Lokesh Reddy</t>
  </si>
  <si>
    <t xml:space="preserve">IT</t>
  </si>
  <si>
    <t xml:space="preserve">Git, Java, SQL</t>
  </si>
  <si>
    <t xml:space="preserve">Data Analyst</t>
  </si>
  <si>
    <t xml:space="preserve">Nimbus Technologies</t>
  </si>
  <si>
    <t xml:space="preserve">Excel, Power BI, Python, SQL</t>
  </si>
  <si>
    <t xml:space="preserve">None</t>
  </si>
  <si>
    <t xml:space="preserve">P02</t>
  </si>
  <si>
    <t xml:space="preserve">Karthik Rao</t>
  </si>
  <si>
    <t xml:space="preserve">ECE</t>
  </si>
  <si>
    <t xml:space="preserve">Data Structures, Git, Java, SQL</t>
  </si>
  <si>
    <t xml:space="preserve">Microservices Developer</t>
  </si>
  <si>
    <t xml:space="preserve">Docker, Java, Microservices, REST APIs, Spring Boot</t>
  </si>
  <si>
    <t xml:space="preserve">P03</t>
  </si>
  <si>
    <t xml:space="preserve">Manasa Gowda</t>
  </si>
  <si>
    <t xml:space="preserve">CSE</t>
  </si>
  <si>
    <t xml:space="preserve">Java, REST APIs, SQL</t>
  </si>
  <si>
    <t xml:space="preserve">QA Automation Engineer</t>
  </si>
  <si>
    <t xml:space="preserve">BrightPath Labs</t>
  </si>
  <si>
    <t xml:space="preserve">Git, Java, Selenium, SQL</t>
  </si>
  <si>
    <t xml:space="preserve">P04</t>
  </si>
  <si>
    <t xml:space="preserve">Harsha Vardhan</t>
  </si>
  <si>
    <t xml:space="preserve">Git, Java, Spring Boot</t>
  </si>
  <si>
    <t xml:space="preserve">P05</t>
  </si>
  <si>
    <t xml:space="preserve">Aarav Sharma</t>
  </si>
  <si>
    <t xml:space="preserve">CSS, Git, HTML, Java, JavaScript, Python, SQL</t>
  </si>
  <si>
    <t xml:space="preserve">Java Backend Developer</t>
  </si>
  <si>
    <t xml:space="preserve">Git, Java, REST APIs, Spring Boot, SQL</t>
  </si>
  <si>
    <t xml:space="preserve">P06</t>
  </si>
  <si>
    <t xml:space="preserve">Meera Pillai</t>
  </si>
  <si>
    <t xml:space="preserve">Git, Java, Spring Boot, SQL</t>
  </si>
  <si>
    <t xml:space="preserve">P07</t>
  </si>
  <si>
    <t xml:space="preserve">Aditya Kulkarni</t>
  </si>
  <si>
    <t xml:space="preserve">Git, HTML, Java, SQL</t>
  </si>
  <si>
    <t xml:space="preserve">P08</t>
  </si>
  <si>
    <t xml:space="preserve">Arjun Patel</t>
  </si>
  <si>
    <t xml:space="preserve">EEE</t>
  </si>
  <si>
    <t xml:space="preserve">Java, Selenium, SQL</t>
  </si>
  <si>
    <t xml:space="preserve">P09</t>
  </si>
  <si>
    <t xml:space="preserve">Full Stack Developer</t>
  </si>
  <si>
    <t xml:space="preserve">Java, JavaScript, React, Spring Boot, SQL</t>
  </si>
  <si>
    <t xml:space="preserve">P10</t>
  </si>
  <si>
    <t xml:space="preserve">Java Developer Intern</t>
  </si>
  <si>
    <t xml:space="preserve">P11</t>
  </si>
  <si>
    <t xml:space="preserve">Tarun Agarwal</t>
  </si>
  <si>
    <t xml:space="preserve">P12</t>
  </si>
  <si>
    <t xml:space="preserve">Divya Menon</t>
  </si>
  <si>
    <t xml:space="preserve">P13</t>
  </si>
  <si>
    <t xml:space="preserve">Gayathri Iyer</t>
  </si>
  <si>
    <t xml:space="preserve">Data Structures, Java, SQL</t>
  </si>
  <si>
    <t xml:space="preserve">P14</t>
  </si>
  <si>
    <t xml:space="preserve">P15</t>
  </si>
  <si>
    <t xml:space="preserve">Sameer Ali</t>
  </si>
  <si>
    <t xml:space="preserve">CSS, Git, HTML</t>
  </si>
  <si>
    <t xml:space="preserve">Cloud &amp; DevOps Engineer</t>
  </si>
  <si>
    <t xml:space="preserve">AWS, Docker, Git, Kubernetes, Linux</t>
  </si>
  <si>
    <t xml:space="preserve">P16</t>
  </si>
  <si>
    <t xml:space="preserve">Kavya Menon</t>
  </si>
  <si>
    <t xml:space="preserve">Pandas, Python, SQL</t>
  </si>
  <si>
    <t xml:space="preserve">Backend Engineer - Payments</t>
  </si>
  <si>
    <t xml:space="preserve">Docker, Java, Spring Boot, SQL</t>
  </si>
  <si>
    <t xml:space="preserve">P17</t>
  </si>
  <si>
    <t xml:space="preserve">Web Developer</t>
  </si>
  <si>
    <t xml:space="preserve">CSS, Git, HTML, JavaScript</t>
  </si>
  <si>
    <t xml:space="preserve">P18</t>
  </si>
  <si>
    <t xml:space="preserve">Chirag Mehta</t>
  </si>
  <si>
    <t xml:space="preserve">Data Structures, Git, Java</t>
  </si>
  <si>
    <t xml:space="preserve">P19</t>
  </si>
  <si>
    <t xml:space="preserve">Software Engineer Trainee</t>
  </si>
  <si>
    <t xml:space="preserve">P20</t>
  </si>
  <si>
    <t xml:space="preserve">Isha Kapoor</t>
  </si>
  <si>
    <t xml:space="preserve">P21</t>
  </si>
  <si>
    <t xml:space="preserve">Rahul Joshi</t>
  </si>
  <si>
    <t xml:space="preserve">Git, Java</t>
  </si>
  <si>
    <t xml:space="preserve">P22</t>
  </si>
  <si>
    <t xml:space="preserve">Uma Krishnan</t>
  </si>
  <si>
    <t xml:space="preserve">Excel, Power BI, SQL</t>
  </si>
  <si>
    <t xml:space="preserve">P23</t>
  </si>
  <si>
    <t xml:space="preserve">Pooja Shetty</t>
  </si>
  <si>
    <t xml:space="preserve">CSS, HTML, JavaScript, React</t>
  </si>
  <si>
    <t xml:space="preserve">Frontend Developer</t>
  </si>
  <si>
    <t xml:space="preserve">CSS, HTML, JavaScript, React, TypeScript</t>
  </si>
  <si>
    <t xml:space="preserve">P24</t>
  </si>
  <si>
    <t xml:space="preserve">P25</t>
  </si>
  <si>
    <t xml:space="preserve">Rohan Gupta</t>
  </si>
  <si>
    <t xml:space="preserve">CSS, Git, HTML, JavaScript, React</t>
  </si>
  <si>
    <t xml:space="preserve">P26</t>
  </si>
  <si>
    <t xml:space="preserve">Ananya Reddy</t>
  </si>
  <si>
    <t xml:space="preserve">Docker, Git, Java, REST APIs, Spring Boot, SQL</t>
  </si>
  <si>
    <t xml:space="preserve">P27</t>
  </si>
  <si>
    <t xml:space="preserve">P28</t>
  </si>
  <si>
    <t xml:space="preserve">Varun Pillai</t>
  </si>
  <si>
    <t xml:space="preserve">P29</t>
  </si>
  <si>
    <t xml:space="preserve">Machine Learning Intern</t>
  </si>
  <si>
    <t xml:space="preserve">Machine Learning, Pandas, Python, SQL</t>
  </si>
  <si>
    <t xml:space="preserve">P30</t>
  </si>
  <si>
    <t xml:space="preserve">Akash Verma</t>
  </si>
  <si>
    <t xml:space="preserve">Java, SQL</t>
  </si>
  <si>
    <t xml:space="preserve">P31</t>
  </si>
  <si>
    <t xml:space="preserve">P32</t>
  </si>
  <si>
    <t xml:space="preserve">P33</t>
  </si>
  <si>
    <t xml:space="preserve">Farhan Sheikh</t>
  </si>
  <si>
    <t xml:space="preserve">CSS, HTML, JavaScript</t>
  </si>
  <si>
    <t xml:space="preserve">P34</t>
  </si>
  <si>
    <t xml:space="preserve">P35</t>
  </si>
  <si>
    <t xml:space="preserve">P36</t>
  </si>
  <si>
    <t xml:space="preserve">P37</t>
  </si>
  <si>
    <t xml:space="preserve">P38</t>
  </si>
  <si>
    <t xml:space="preserve">Nandini Hegde</t>
  </si>
  <si>
    <t xml:space="preserve">Java, Spring Boot, SQL</t>
  </si>
  <si>
    <t xml:space="preserve">P39</t>
  </si>
  <si>
    <t xml:space="preserve">P40</t>
  </si>
  <si>
    <t xml:space="preserve">Ishita Das</t>
  </si>
  <si>
    <t xml:space="preserve">P41</t>
  </si>
  <si>
    <t xml:space="preserve">P42</t>
  </si>
  <si>
    <t xml:space="preserve">P43</t>
  </si>
  <si>
    <t xml:space="preserve">P44</t>
  </si>
  <si>
    <t xml:space="preserve">P45</t>
  </si>
  <si>
    <t xml:space="preserve">P46</t>
  </si>
  <si>
    <t xml:space="preserve">Vikram Singh</t>
  </si>
  <si>
    <t xml:space="preserve">P47</t>
  </si>
  <si>
    <t xml:space="preserve">P48</t>
  </si>
  <si>
    <t xml:space="preserve">P49</t>
  </si>
  <si>
    <t xml:space="preserve">P50</t>
  </si>
  <si>
    <t xml:space="preserve">P51</t>
  </si>
  <si>
    <t xml:space="preserve">P52</t>
  </si>
  <si>
    <t xml:space="preserve">Sneha Iyer</t>
  </si>
  <si>
    <t xml:space="preserve">P53</t>
  </si>
  <si>
    <t xml:space="preserve">P54</t>
  </si>
  <si>
    <t xml:space="preserve">P55</t>
  </si>
  <si>
    <t xml:space="preserve">P56</t>
  </si>
  <si>
    <t xml:space="preserve">P57</t>
  </si>
  <si>
    <t xml:space="preserve">P58</t>
  </si>
  <si>
    <t xml:space="preserve">P59</t>
  </si>
  <si>
    <t xml:space="preserve">P60</t>
  </si>
  <si>
    <t xml:space="preserve">CareerSphere score (%)</t>
  </si>
  <si>
    <t xml:space="preserve">Meets CGPA cutoff</t>
  </si>
  <si>
    <t xml:space="preserve">CareerSphere predicts fit</t>
  </si>
  <si>
    <t xml:space="preserve">Shared skills</t>
  </si>
  <si>
    <t xml:space="preserve">Keyword baseline predicts fit</t>
  </si>
  <si>
    <t xml:space="preserve">CareerSphere agrees</t>
  </si>
  <si>
    <t xml:space="preserve">Baseline agrees</t>
  </si>
  <si>
    <t xml:space="preserve">Y</t>
  </si>
  <si>
    <t xml:space="preserve">N</t>
  </si>
  <si>
    <t xml:space="preserve">CareerSphere vs keyword matching</t>
  </si>
  <si>
    <t xml:space="preserve">Settings</t>
  </si>
  <si>
    <t xml:space="preserve">CareerSphere match threshold (%)</t>
  </si>
  <si>
    <t xml:space="preserve">Same 70% rule as the app. Change to test other thresholds.</t>
  </si>
  <si>
    <t xml:space="preserve">Keyword baseline: minimum shared skills</t>
  </si>
  <si>
    <t xml:space="preserve">Try 1 or 3 to see how sensitive the baseline is.</t>
  </si>
  <si>
    <t xml:space="preserve">Pairs with all three labels</t>
  </si>
  <si>
    <t xml:space="preserve">Of which humans call a fit</t>
  </si>
  <si>
    <t xml:space="preserve">All three labelers agreed</t>
  </si>
  <si>
    <t xml:space="preserve">Share of labeled pairs where all three people gave the same answer.</t>
  </si>
  <si>
    <t xml:space="preserve">Measure</t>
  </si>
  <si>
    <t xml:space="preserve">CareerSphere</t>
  </si>
  <si>
    <t xml:space="preserve">Keyword baseline</t>
  </si>
  <si>
    <t xml:space="preserve">Meaning</t>
  </si>
  <si>
    <t xml:space="preserve">Accuracy</t>
  </si>
  <si>
    <t xml:space="preserve">Agrees with the human majority</t>
  </si>
  <si>
    <t xml:space="preserve">Precision</t>
  </si>
  <si>
    <t xml:space="preserve">When it says "fit", how often humans agree</t>
  </si>
  <si>
    <t xml:space="preserve">Recall</t>
  </si>
  <si>
    <t xml:space="preserve">Of the real fits, how many it finds</t>
  </si>
  <si>
    <t xml:space="preserve">F1 score</t>
  </si>
  <si>
    <t xml:space="preserve">Balance of precision and recall</t>
  </si>
  <si>
    <t xml:space="preserve">True fits found (TP)</t>
  </si>
  <si>
    <t xml:space="preserve">False alarms (FP)</t>
  </si>
  <si>
    <t xml:space="preserve">Students it would wrongly encourage to apply</t>
  </si>
  <si>
    <t xml:space="preserve">Missed fits (FN)</t>
  </si>
  <si>
    <t xml:space="preserve">Correct rejections (TN)</t>
  </si>
  <si>
    <t xml:space="preserve">Results stay "-" until the three label columns are filled in.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</si>
</sst>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84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i val="true"/>
      <sz val="9"/>
      <color rgb="FF4B5C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3284A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2CEC8"/>
      </left>
      <right style="thin">
        <color rgb="FFC2CEC8"/>
      </right>
      <top style="thin">
        <color rgb="FFC2CEC8"/>
      </top>
      <bottom style="thin">
        <color rgb="FFC2CE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CEC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C77"/>
      <rgbColor rgb="FF969696"/>
      <rgbColor rgb="FF1328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23.8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2" t="s">
        <v>13</v>
      </c>
    </row>
    <row r="19" customFormat="false" ht="23.85" hidden="false" customHeight="false" outlineLevel="0" collapsed="false">
      <c r="A19" s="3" t="s">
        <v>14</v>
      </c>
    </row>
    <row r="20" customFormat="false" ht="23.8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3" t="s">
        <v>17</v>
      </c>
    </row>
    <row r="24" customFormat="false" ht="23.8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2" t="s">
        <v>20</v>
      </c>
    </row>
    <row r="28" customFormat="false" ht="23.85" hidden="false" customHeight="false" outlineLevel="0" collapsed="false">
      <c r="A28" s="3" t="s">
        <v>21</v>
      </c>
    </row>
    <row r="29" customFormat="false" ht="23.85" hidden="false" customHeight="false" outlineLevel="0" collapsed="false">
      <c r="A29" s="3" t="s">
        <v>22</v>
      </c>
    </row>
    <row r="30" customFormat="false" ht="23.85" hidden="false" customHeight="false" outlineLevel="0" collapsed="false">
      <c r="A30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20"/>
    <col collapsed="false" customWidth="true" hidden="false" outlineLevel="0" max="8" min="8" style="0" width="42"/>
    <col collapsed="false" customWidth="true" hidden="false" outlineLevel="0" max="9" min="9" style="0" width="9"/>
    <col collapsed="false" customWidth="true" hidden="false" outlineLevel="0" max="12" min="10" style="0" width="11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</row>
    <row r="2" customFormat="false" ht="15" hidden="false" customHeight="false" outlineLevel="0" collapsed="false">
      <c r="A2" s="5" t="s">
        <v>37</v>
      </c>
      <c r="B2" s="5" t="s">
        <v>38</v>
      </c>
      <c r="C2" s="5" t="s">
        <v>39</v>
      </c>
      <c r="D2" s="5" t="n">
        <v>7.2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6"/>
      <c r="K2" s="6"/>
      <c r="L2" s="6"/>
      <c r="M2" s="7" t="str">
        <f aca="false">IF(COUNTA(J2:L2)&lt;3,"",IF(COUNTIF(J2:L2,"Y")&gt;=2,"Y","N"))</f>
        <v/>
      </c>
    </row>
    <row r="3" customFormat="false" ht="23.85" hidden="false" customHeight="false" outlineLevel="0" collapsed="false">
      <c r="A3" s="5" t="s">
        <v>45</v>
      </c>
      <c r="B3" s="5" t="s">
        <v>46</v>
      </c>
      <c r="C3" s="5" t="s">
        <v>47</v>
      </c>
      <c r="D3" s="5" t="n">
        <v>7.9</v>
      </c>
      <c r="E3" s="5" t="s">
        <v>48</v>
      </c>
      <c r="F3" s="5" t="s">
        <v>49</v>
      </c>
      <c r="G3" s="5" t="s">
        <v>42</v>
      </c>
      <c r="H3" s="5" t="s">
        <v>50</v>
      </c>
      <c r="I3" s="5" t="n">
        <v>7.5</v>
      </c>
      <c r="J3" s="6"/>
      <c r="K3" s="6"/>
      <c r="L3" s="6"/>
      <c r="M3" s="7" t="str">
        <f aca="false">IF(COUNTA(J3:L3)&lt;3,"",IF(COUNTIF(J3:L3,"Y")&gt;=2,"Y","N"))</f>
        <v/>
      </c>
    </row>
    <row r="4" customFormat="false" ht="15" hidden="false" customHeight="false" outlineLevel="0" collapsed="false">
      <c r="A4" s="5" t="s">
        <v>51</v>
      </c>
      <c r="B4" s="5" t="s">
        <v>52</v>
      </c>
      <c r="C4" s="5" t="s">
        <v>53</v>
      </c>
      <c r="D4" s="5" t="n">
        <v>8</v>
      </c>
      <c r="E4" s="5" t="s">
        <v>54</v>
      </c>
      <c r="F4" s="5" t="s">
        <v>55</v>
      </c>
      <c r="G4" s="5" t="s">
        <v>56</v>
      </c>
      <c r="H4" s="5" t="s">
        <v>57</v>
      </c>
      <c r="I4" s="5" t="s">
        <v>44</v>
      </c>
      <c r="J4" s="6"/>
      <c r="K4" s="6"/>
      <c r="L4" s="6"/>
      <c r="M4" s="7" t="str">
        <f aca="false">IF(COUNTA(J4:L4)&lt;3,"",IF(COUNTIF(J4:L4,"Y")&gt;=2,"Y","N"))</f>
        <v/>
      </c>
    </row>
    <row r="5" customFormat="false" ht="15" hidden="false" customHeight="false" outlineLevel="0" collapsed="false">
      <c r="A5" s="5" t="s">
        <v>58</v>
      </c>
      <c r="B5" s="5" t="s">
        <v>59</v>
      </c>
      <c r="C5" s="5" t="s">
        <v>53</v>
      </c>
      <c r="D5" s="5" t="n">
        <v>7.5</v>
      </c>
      <c r="E5" s="5" t="s">
        <v>60</v>
      </c>
      <c r="F5" s="5" t="s">
        <v>55</v>
      </c>
      <c r="G5" s="5" t="s">
        <v>56</v>
      </c>
      <c r="H5" s="5" t="s">
        <v>57</v>
      </c>
      <c r="I5" s="5" t="s">
        <v>44</v>
      </c>
      <c r="J5" s="6"/>
      <c r="K5" s="6"/>
      <c r="L5" s="6"/>
      <c r="M5" s="7" t="str">
        <f aca="false">IF(COUNTA(J5:L5)&lt;3,"",IF(COUNTIF(J5:L5,"Y")&gt;=2,"Y","N"))</f>
        <v/>
      </c>
    </row>
    <row r="6" customFormat="false" ht="15" hidden="false" customHeight="false" outlineLevel="0" collapsed="false">
      <c r="A6" s="5" t="s">
        <v>61</v>
      </c>
      <c r="B6" s="5" t="s">
        <v>62</v>
      </c>
      <c r="C6" s="5" t="s">
        <v>53</v>
      </c>
      <c r="D6" s="5" t="n">
        <v>8.2</v>
      </c>
      <c r="E6" s="5" t="s">
        <v>63</v>
      </c>
      <c r="F6" s="5" t="s">
        <v>64</v>
      </c>
      <c r="G6" s="5" t="s">
        <v>42</v>
      </c>
      <c r="H6" s="5" t="s">
        <v>65</v>
      </c>
      <c r="I6" s="5" t="s">
        <v>44</v>
      </c>
      <c r="J6" s="6"/>
      <c r="K6" s="6"/>
      <c r="L6" s="6"/>
      <c r="M6" s="7" t="str">
        <f aca="false">IF(COUNTA(J6:L6)&lt;3,"",IF(COUNTIF(J6:L6,"Y")&gt;=2,"Y","N"))</f>
        <v/>
      </c>
    </row>
    <row r="7" customFormat="false" ht="15" hidden="false" customHeight="false" outlineLevel="0" collapsed="false">
      <c r="A7" s="5" t="s">
        <v>66</v>
      </c>
      <c r="B7" s="5" t="s">
        <v>67</v>
      </c>
      <c r="C7" s="5" t="s">
        <v>53</v>
      </c>
      <c r="D7" s="5" t="n">
        <v>8.4</v>
      </c>
      <c r="E7" s="5" t="s">
        <v>68</v>
      </c>
      <c r="F7" s="5" t="s">
        <v>64</v>
      </c>
      <c r="G7" s="5" t="s">
        <v>42</v>
      </c>
      <c r="H7" s="5" t="s">
        <v>65</v>
      </c>
      <c r="I7" s="5" t="s">
        <v>44</v>
      </c>
      <c r="J7" s="6"/>
      <c r="K7" s="6"/>
      <c r="L7" s="6"/>
      <c r="M7" s="7" t="str">
        <f aca="false">IF(COUNTA(J7:L7)&lt;3,"",IF(COUNTIF(J7:L7,"Y")&gt;=2,"Y","N"))</f>
        <v/>
      </c>
    </row>
    <row r="8" customFormat="false" ht="15" hidden="false" customHeight="false" outlineLevel="0" collapsed="false">
      <c r="A8" s="5" t="s">
        <v>69</v>
      </c>
      <c r="B8" s="5" t="s">
        <v>70</v>
      </c>
      <c r="C8" s="5" t="s">
        <v>53</v>
      </c>
      <c r="D8" s="5" t="n">
        <v>7.8</v>
      </c>
      <c r="E8" s="5" t="s">
        <v>71</v>
      </c>
      <c r="F8" s="5" t="s">
        <v>64</v>
      </c>
      <c r="G8" s="5" t="s">
        <v>42</v>
      </c>
      <c r="H8" s="5" t="s">
        <v>65</v>
      </c>
      <c r="I8" s="5" t="s">
        <v>44</v>
      </c>
      <c r="J8" s="6"/>
      <c r="K8" s="6"/>
      <c r="L8" s="6"/>
      <c r="M8" s="7" t="str">
        <f aca="false">IF(COUNTA(J8:L8)&lt;3,"",IF(COUNTIF(J8:L8,"Y")&gt;=2,"Y","N"))</f>
        <v/>
      </c>
    </row>
    <row r="9" customFormat="false" ht="15" hidden="false" customHeight="false" outlineLevel="0" collapsed="false">
      <c r="A9" s="5" t="s">
        <v>72</v>
      </c>
      <c r="B9" s="5" t="s">
        <v>73</v>
      </c>
      <c r="C9" s="5" t="s">
        <v>74</v>
      </c>
      <c r="D9" s="5" t="n">
        <v>7.2</v>
      </c>
      <c r="E9" s="5" t="s">
        <v>75</v>
      </c>
      <c r="F9" s="5" t="s">
        <v>64</v>
      </c>
      <c r="G9" s="5" t="s">
        <v>42</v>
      </c>
      <c r="H9" s="5" t="s">
        <v>65</v>
      </c>
      <c r="I9" s="5" t="s">
        <v>44</v>
      </c>
      <c r="J9" s="6"/>
      <c r="K9" s="6"/>
      <c r="L9" s="6"/>
      <c r="M9" s="7" t="str">
        <f aca="false">IF(COUNTA(J9:L9)&lt;3,"",IF(COUNTIF(J9:L9,"Y")&gt;=2,"Y","N"))</f>
        <v/>
      </c>
    </row>
    <row r="10" customFormat="false" ht="15" hidden="false" customHeight="false" outlineLevel="0" collapsed="false">
      <c r="A10" s="5" t="s">
        <v>76</v>
      </c>
      <c r="B10" s="5" t="s">
        <v>59</v>
      </c>
      <c r="C10" s="5" t="s">
        <v>53</v>
      </c>
      <c r="D10" s="5" t="n">
        <v>7.5</v>
      </c>
      <c r="E10" s="5" t="s">
        <v>60</v>
      </c>
      <c r="F10" s="5" t="s">
        <v>77</v>
      </c>
      <c r="G10" s="5" t="s">
        <v>56</v>
      </c>
      <c r="H10" s="5" t="s">
        <v>78</v>
      </c>
      <c r="I10" s="5" t="s">
        <v>44</v>
      </c>
      <c r="J10" s="6"/>
      <c r="K10" s="6"/>
      <c r="L10" s="6"/>
      <c r="M10" s="7" t="str">
        <f aca="false">IF(COUNTA(J10:L10)&lt;3,"",IF(COUNTIF(J10:L10,"Y")&gt;=2,"Y","N"))</f>
        <v/>
      </c>
    </row>
    <row r="11" customFormat="false" ht="15" hidden="false" customHeight="false" outlineLevel="0" collapsed="false">
      <c r="A11" s="5" t="s">
        <v>79</v>
      </c>
      <c r="B11" s="5" t="s">
        <v>73</v>
      </c>
      <c r="C11" s="5" t="s">
        <v>74</v>
      </c>
      <c r="D11" s="5" t="n">
        <v>7.2</v>
      </c>
      <c r="E11" s="5" t="s">
        <v>75</v>
      </c>
      <c r="F11" s="5" t="s">
        <v>80</v>
      </c>
      <c r="G11" s="5" t="s">
        <v>56</v>
      </c>
      <c r="H11" s="5" t="s">
        <v>60</v>
      </c>
      <c r="I11" s="5" t="s">
        <v>44</v>
      </c>
      <c r="J11" s="6"/>
      <c r="K11" s="6"/>
      <c r="L11" s="6"/>
      <c r="M11" s="7" t="str">
        <f aca="false">IF(COUNTA(J11:L11)&lt;3,"",IF(COUNTIF(J11:L11,"Y")&gt;=2,"Y","N"))</f>
        <v/>
      </c>
    </row>
    <row r="12" customFormat="false" ht="15" hidden="false" customHeight="false" outlineLevel="0" collapsed="false">
      <c r="A12" s="5" t="s">
        <v>81</v>
      </c>
      <c r="B12" s="5" t="s">
        <v>82</v>
      </c>
      <c r="C12" s="5" t="s">
        <v>53</v>
      </c>
      <c r="D12" s="5" t="n">
        <v>7.7</v>
      </c>
      <c r="E12" s="5" t="s">
        <v>75</v>
      </c>
      <c r="F12" s="5" t="s">
        <v>55</v>
      </c>
      <c r="G12" s="5" t="s">
        <v>56</v>
      </c>
      <c r="H12" s="5" t="s">
        <v>57</v>
      </c>
      <c r="I12" s="5" t="s">
        <v>44</v>
      </c>
      <c r="J12" s="6"/>
      <c r="K12" s="6"/>
      <c r="L12" s="6"/>
      <c r="M12" s="7" t="str">
        <f aca="false">IF(COUNTA(J12:L12)&lt;3,"",IF(COUNTIF(J12:L12,"Y")&gt;=2,"Y","N"))</f>
        <v/>
      </c>
    </row>
    <row r="13" customFormat="false" ht="15" hidden="false" customHeight="false" outlineLevel="0" collapsed="false">
      <c r="A13" s="5" t="s">
        <v>83</v>
      </c>
      <c r="B13" s="5" t="s">
        <v>84</v>
      </c>
      <c r="C13" s="5" t="s">
        <v>53</v>
      </c>
      <c r="D13" s="5" t="n">
        <v>8.9</v>
      </c>
      <c r="E13" s="5" t="s">
        <v>43</v>
      </c>
      <c r="F13" s="5" t="s">
        <v>55</v>
      </c>
      <c r="G13" s="5" t="s">
        <v>56</v>
      </c>
      <c r="H13" s="5" t="s">
        <v>57</v>
      </c>
      <c r="I13" s="5" t="s">
        <v>44</v>
      </c>
      <c r="J13" s="6"/>
      <c r="K13" s="6"/>
      <c r="L13" s="6"/>
      <c r="M13" s="7" t="str">
        <f aca="false">IF(COUNTA(J13:L13)&lt;3,"",IF(COUNTIF(J13:L13,"Y")&gt;=2,"Y","N"))</f>
        <v/>
      </c>
    </row>
    <row r="14" customFormat="false" ht="15" hidden="false" customHeight="false" outlineLevel="0" collapsed="false">
      <c r="A14" s="5" t="s">
        <v>85</v>
      </c>
      <c r="B14" s="5" t="s">
        <v>86</v>
      </c>
      <c r="C14" s="5" t="s">
        <v>39</v>
      </c>
      <c r="D14" s="5" t="n">
        <v>9</v>
      </c>
      <c r="E14" s="5" t="s">
        <v>87</v>
      </c>
      <c r="F14" s="5" t="s">
        <v>55</v>
      </c>
      <c r="G14" s="5" t="s">
        <v>56</v>
      </c>
      <c r="H14" s="5" t="s">
        <v>57</v>
      </c>
      <c r="I14" s="5" t="s">
        <v>44</v>
      </c>
      <c r="J14" s="6"/>
      <c r="K14" s="6"/>
      <c r="L14" s="6"/>
      <c r="M14" s="7" t="str">
        <f aca="false">IF(COUNTA(J14:L14)&lt;3,"",IF(COUNTIF(J14:L14,"Y")&gt;=2,"Y","N"))</f>
        <v/>
      </c>
    </row>
    <row r="15" customFormat="false" ht="15" hidden="false" customHeight="false" outlineLevel="0" collapsed="false">
      <c r="A15" s="5" t="s">
        <v>88</v>
      </c>
      <c r="B15" s="5" t="s">
        <v>59</v>
      </c>
      <c r="C15" s="5" t="s">
        <v>53</v>
      </c>
      <c r="D15" s="5" t="n">
        <v>7.5</v>
      </c>
      <c r="E15" s="5" t="s">
        <v>60</v>
      </c>
      <c r="F15" s="5" t="s">
        <v>80</v>
      </c>
      <c r="G15" s="5" t="s">
        <v>56</v>
      </c>
      <c r="H15" s="5" t="s">
        <v>60</v>
      </c>
      <c r="I15" s="5" t="s">
        <v>44</v>
      </c>
      <c r="J15" s="6"/>
      <c r="K15" s="6"/>
      <c r="L15" s="6"/>
      <c r="M15" s="7" t="str">
        <f aca="false">IF(COUNTA(J15:L15)&lt;3,"",IF(COUNTIF(J15:L15,"Y")&gt;=2,"Y","N"))</f>
        <v/>
      </c>
    </row>
    <row r="16" customFormat="false" ht="15" hidden="false" customHeight="false" outlineLevel="0" collapsed="false">
      <c r="A16" s="5" t="s">
        <v>89</v>
      </c>
      <c r="B16" s="5" t="s">
        <v>90</v>
      </c>
      <c r="C16" s="5" t="s">
        <v>39</v>
      </c>
      <c r="D16" s="5" t="n">
        <v>7.3</v>
      </c>
      <c r="E16" s="5" t="s">
        <v>91</v>
      </c>
      <c r="F16" s="5" t="s">
        <v>92</v>
      </c>
      <c r="G16" s="5" t="s">
        <v>42</v>
      </c>
      <c r="H16" s="5" t="s">
        <v>93</v>
      </c>
      <c r="I16" s="5" t="s">
        <v>44</v>
      </c>
      <c r="J16" s="6"/>
      <c r="K16" s="6"/>
      <c r="L16" s="6"/>
      <c r="M16" s="7" t="str">
        <f aca="false">IF(COUNTA(J16:L16)&lt;3,"",IF(COUNTIF(J16:L16,"Y")&gt;=2,"Y","N"))</f>
        <v/>
      </c>
    </row>
    <row r="17" customFormat="false" ht="15" hidden="false" customHeight="false" outlineLevel="0" collapsed="false">
      <c r="A17" s="5" t="s">
        <v>94</v>
      </c>
      <c r="B17" s="5" t="s">
        <v>95</v>
      </c>
      <c r="C17" s="5" t="s">
        <v>53</v>
      </c>
      <c r="D17" s="5" t="n">
        <v>8.8</v>
      </c>
      <c r="E17" s="5" t="s">
        <v>96</v>
      </c>
      <c r="F17" s="5" t="s">
        <v>97</v>
      </c>
      <c r="G17" s="5" t="s">
        <v>42</v>
      </c>
      <c r="H17" s="5" t="s">
        <v>98</v>
      </c>
      <c r="I17" s="5" t="n">
        <v>7</v>
      </c>
      <c r="J17" s="6"/>
      <c r="K17" s="6"/>
      <c r="L17" s="6"/>
      <c r="M17" s="7" t="str">
        <f aca="false">IF(COUNTA(J17:L17)&lt;3,"",IF(COUNTIF(J17:L17,"Y")&gt;=2,"Y","N"))</f>
        <v/>
      </c>
    </row>
    <row r="18" customFormat="false" ht="15" hidden="false" customHeight="false" outlineLevel="0" collapsed="false">
      <c r="A18" s="5" t="s">
        <v>99</v>
      </c>
      <c r="B18" s="5" t="s">
        <v>59</v>
      </c>
      <c r="C18" s="5" t="s">
        <v>53</v>
      </c>
      <c r="D18" s="5" t="n">
        <v>7.5</v>
      </c>
      <c r="E18" s="5" t="s">
        <v>60</v>
      </c>
      <c r="F18" s="5" t="s">
        <v>100</v>
      </c>
      <c r="G18" s="5" t="s">
        <v>42</v>
      </c>
      <c r="H18" s="5" t="s">
        <v>101</v>
      </c>
      <c r="I18" s="5" t="s">
        <v>44</v>
      </c>
      <c r="J18" s="6"/>
      <c r="K18" s="6"/>
      <c r="L18" s="6"/>
      <c r="M18" s="7" t="str">
        <f aca="false">IF(COUNTA(J18:L18)&lt;3,"",IF(COUNTIF(J18:L18,"Y")&gt;=2,"Y","N"))</f>
        <v/>
      </c>
    </row>
    <row r="19" customFormat="false" ht="15" hidden="false" customHeight="false" outlineLevel="0" collapsed="false">
      <c r="A19" s="5" t="s">
        <v>102</v>
      </c>
      <c r="B19" s="5" t="s">
        <v>103</v>
      </c>
      <c r="C19" s="5" t="s">
        <v>53</v>
      </c>
      <c r="D19" s="5" t="n">
        <v>7.1</v>
      </c>
      <c r="E19" s="5" t="s">
        <v>104</v>
      </c>
      <c r="F19" s="5" t="s">
        <v>80</v>
      </c>
      <c r="G19" s="5" t="s">
        <v>56</v>
      </c>
      <c r="H19" s="5" t="s">
        <v>60</v>
      </c>
      <c r="I19" s="5" t="s">
        <v>44</v>
      </c>
      <c r="J19" s="6"/>
      <c r="K19" s="6"/>
      <c r="L19" s="6"/>
      <c r="M19" s="7" t="str">
        <f aca="false">IF(COUNTA(J19:L19)&lt;3,"",IF(COUNTIF(J19:L19,"Y")&gt;=2,"Y","N"))</f>
        <v/>
      </c>
    </row>
    <row r="20" customFormat="false" ht="15" hidden="false" customHeight="false" outlineLevel="0" collapsed="false">
      <c r="A20" s="5" t="s">
        <v>105</v>
      </c>
      <c r="B20" s="5" t="s">
        <v>70</v>
      </c>
      <c r="C20" s="5" t="s">
        <v>53</v>
      </c>
      <c r="D20" s="5" t="n">
        <v>7.8</v>
      </c>
      <c r="E20" s="5" t="s">
        <v>71</v>
      </c>
      <c r="F20" s="5" t="s">
        <v>106</v>
      </c>
      <c r="G20" s="5" t="s">
        <v>42</v>
      </c>
      <c r="H20" s="5" t="s">
        <v>48</v>
      </c>
      <c r="I20" s="5" t="n">
        <v>6.5</v>
      </c>
      <c r="J20" s="6"/>
      <c r="K20" s="6"/>
      <c r="L20" s="6"/>
      <c r="M20" s="7" t="str">
        <f aca="false">IF(COUNTA(J20:L20)&lt;3,"",IF(COUNTIF(J20:L20,"Y")&gt;=2,"Y","N"))</f>
        <v/>
      </c>
    </row>
    <row r="21" customFormat="false" ht="15" hidden="false" customHeight="false" outlineLevel="0" collapsed="false">
      <c r="A21" s="5" t="s">
        <v>107</v>
      </c>
      <c r="B21" s="5" t="s">
        <v>108</v>
      </c>
      <c r="C21" s="5" t="s">
        <v>53</v>
      </c>
      <c r="D21" s="5" t="n">
        <v>8.3</v>
      </c>
      <c r="E21" s="5" t="s">
        <v>101</v>
      </c>
      <c r="F21" s="5" t="s">
        <v>100</v>
      </c>
      <c r="G21" s="5" t="s">
        <v>42</v>
      </c>
      <c r="H21" s="5" t="s">
        <v>101</v>
      </c>
      <c r="I21" s="5" t="s">
        <v>44</v>
      </c>
      <c r="J21" s="6"/>
      <c r="K21" s="6"/>
      <c r="L21" s="6"/>
      <c r="M21" s="7" t="str">
        <f aca="false">IF(COUNTA(J21:L21)&lt;3,"",IF(COUNTIF(J21:L21,"Y")&gt;=2,"Y","N"))</f>
        <v/>
      </c>
    </row>
    <row r="22" customFormat="false" ht="15" hidden="false" customHeight="false" outlineLevel="0" collapsed="false">
      <c r="A22" s="5" t="s">
        <v>109</v>
      </c>
      <c r="B22" s="5" t="s">
        <v>110</v>
      </c>
      <c r="C22" s="5" t="s">
        <v>39</v>
      </c>
      <c r="D22" s="5" t="n">
        <v>6.9</v>
      </c>
      <c r="E22" s="5" t="s">
        <v>111</v>
      </c>
      <c r="F22" s="5" t="s">
        <v>55</v>
      </c>
      <c r="G22" s="5" t="s">
        <v>56</v>
      </c>
      <c r="H22" s="5" t="s">
        <v>57</v>
      </c>
      <c r="I22" s="5" t="s">
        <v>44</v>
      </c>
      <c r="J22" s="6"/>
      <c r="K22" s="6"/>
      <c r="L22" s="6"/>
      <c r="M22" s="7" t="str">
        <f aca="false">IF(COUNTA(J22:L22)&lt;3,"",IF(COUNTIF(J22:L22,"Y")&gt;=2,"Y","N"))</f>
        <v/>
      </c>
    </row>
    <row r="23" customFormat="false" ht="15" hidden="false" customHeight="false" outlineLevel="0" collapsed="false">
      <c r="A23" s="5" t="s">
        <v>112</v>
      </c>
      <c r="B23" s="5" t="s">
        <v>113</v>
      </c>
      <c r="C23" s="5" t="s">
        <v>39</v>
      </c>
      <c r="D23" s="5" t="n">
        <v>8.2</v>
      </c>
      <c r="E23" s="5" t="s">
        <v>114</v>
      </c>
      <c r="F23" s="5" t="s">
        <v>77</v>
      </c>
      <c r="G23" s="5" t="s">
        <v>56</v>
      </c>
      <c r="H23" s="5" t="s">
        <v>78</v>
      </c>
      <c r="I23" s="5" t="s">
        <v>44</v>
      </c>
      <c r="J23" s="6"/>
      <c r="K23" s="6"/>
      <c r="L23" s="6"/>
      <c r="M23" s="7" t="str">
        <f aca="false">IF(COUNTA(J23:L23)&lt;3,"",IF(COUNTIF(J23:L23,"Y")&gt;=2,"Y","N"))</f>
        <v/>
      </c>
    </row>
    <row r="24" customFormat="false" ht="15" hidden="false" customHeight="false" outlineLevel="0" collapsed="false">
      <c r="A24" s="5" t="s">
        <v>115</v>
      </c>
      <c r="B24" s="5" t="s">
        <v>116</v>
      </c>
      <c r="C24" s="5" t="s">
        <v>53</v>
      </c>
      <c r="D24" s="5" t="n">
        <v>8.4</v>
      </c>
      <c r="E24" s="5" t="s">
        <v>117</v>
      </c>
      <c r="F24" s="5" t="s">
        <v>118</v>
      </c>
      <c r="G24" s="5" t="s">
        <v>56</v>
      </c>
      <c r="H24" s="5" t="s">
        <v>119</v>
      </c>
      <c r="I24" s="5" t="s">
        <v>44</v>
      </c>
      <c r="J24" s="6"/>
      <c r="K24" s="6"/>
      <c r="L24" s="6"/>
      <c r="M24" s="7" t="str">
        <f aca="false">IF(COUNTA(J24:L24)&lt;3,"",IF(COUNTIF(J24:L24,"Y")&gt;=2,"Y","N"))</f>
        <v/>
      </c>
    </row>
    <row r="25" customFormat="false" ht="15" hidden="false" customHeight="false" outlineLevel="0" collapsed="false">
      <c r="A25" s="5" t="s">
        <v>120</v>
      </c>
      <c r="B25" s="5" t="s">
        <v>82</v>
      </c>
      <c r="C25" s="5" t="s">
        <v>53</v>
      </c>
      <c r="D25" s="5" t="n">
        <v>7.7</v>
      </c>
      <c r="E25" s="5" t="s">
        <v>75</v>
      </c>
      <c r="F25" s="5" t="s">
        <v>118</v>
      </c>
      <c r="G25" s="5" t="s">
        <v>56</v>
      </c>
      <c r="H25" s="5" t="s">
        <v>119</v>
      </c>
      <c r="I25" s="5" t="s">
        <v>44</v>
      </c>
      <c r="J25" s="6"/>
      <c r="K25" s="6"/>
      <c r="L25" s="6"/>
      <c r="M25" s="7" t="str">
        <f aca="false">IF(COUNTA(J25:L25)&lt;3,"",IF(COUNTIF(J25:L25,"Y")&gt;=2,"Y","N"))</f>
        <v/>
      </c>
    </row>
    <row r="26" customFormat="false" ht="15" hidden="false" customHeight="false" outlineLevel="0" collapsed="false">
      <c r="A26" s="5" t="s">
        <v>121</v>
      </c>
      <c r="B26" s="5" t="s">
        <v>122</v>
      </c>
      <c r="C26" s="5" t="s">
        <v>39</v>
      </c>
      <c r="D26" s="5" t="n">
        <v>7.4</v>
      </c>
      <c r="E26" s="5" t="s">
        <v>123</v>
      </c>
      <c r="F26" s="5" t="s">
        <v>118</v>
      </c>
      <c r="G26" s="5" t="s">
        <v>56</v>
      </c>
      <c r="H26" s="5" t="s">
        <v>119</v>
      </c>
      <c r="I26" s="5" t="s">
        <v>44</v>
      </c>
      <c r="J26" s="6"/>
      <c r="K26" s="6"/>
      <c r="L26" s="6"/>
      <c r="M26" s="7" t="str">
        <f aca="false">IF(COUNTA(J26:L26)&lt;3,"",IF(COUNTIF(J26:L26,"Y")&gt;=2,"Y","N"))</f>
        <v/>
      </c>
    </row>
    <row r="27" customFormat="false" ht="15" hidden="false" customHeight="false" outlineLevel="0" collapsed="false">
      <c r="A27" s="5" t="s">
        <v>124</v>
      </c>
      <c r="B27" s="5" t="s">
        <v>125</v>
      </c>
      <c r="C27" s="5" t="s">
        <v>53</v>
      </c>
      <c r="D27" s="5" t="n">
        <v>9.1</v>
      </c>
      <c r="E27" s="5" t="s">
        <v>126</v>
      </c>
      <c r="F27" s="5" t="s">
        <v>55</v>
      </c>
      <c r="G27" s="5" t="s">
        <v>56</v>
      </c>
      <c r="H27" s="5" t="s">
        <v>57</v>
      </c>
      <c r="I27" s="5" t="s">
        <v>44</v>
      </c>
      <c r="J27" s="6"/>
      <c r="K27" s="6"/>
      <c r="L27" s="6"/>
      <c r="M27" s="7" t="str">
        <f aca="false">IF(COUNTA(J27:L27)&lt;3,"",IF(COUNTIF(J27:L27,"Y")&gt;=2,"Y","N"))</f>
        <v/>
      </c>
    </row>
    <row r="28" customFormat="false" ht="15" hidden="false" customHeight="false" outlineLevel="0" collapsed="false">
      <c r="A28" s="5" t="s">
        <v>127</v>
      </c>
      <c r="B28" s="5" t="s">
        <v>67</v>
      </c>
      <c r="C28" s="5" t="s">
        <v>53</v>
      </c>
      <c r="D28" s="5" t="n">
        <v>8.4</v>
      </c>
      <c r="E28" s="5" t="s">
        <v>68</v>
      </c>
      <c r="F28" s="5" t="s">
        <v>55</v>
      </c>
      <c r="G28" s="5" t="s">
        <v>56</v>
      </c>
      <c r="H28" s="5" t="s">
        <v>57</v>
      </c>
      <c r="I28" s="5" t="s">
        <v>44</v>
      </c>
      <c r="J28" s="6"/>
      <c r="K28" s="6"/>
      <c r="L28" s="6"/>
      <c r="M28" s="7" t="str">
        <f aca="false">IF(COUNTA(J28:L28)&lt;3,"",IF(COUNTIF(J28:L28,"Y")&gt;=2,"Y","N"))</f>
        <v/>
      </c>
    </row>
    <row r="29" customFormat="false" ht="15" hidden="false" customHeight="false" outlineLevel="0" collapsed="false">
      <c r="A29" s="5" t="s">
        <v>128</v>
      </c>
      <c r="B29" s="5" t="s">
        <v>129</v>
      </c>
      <c r="C29" s="5" t="s">
        <v>53</v>
      </c>
      <c r="D29" s="5" t="n">
        <v>7.4</v>
      </c>
      <c r="E29" s="5" t="s">
        <v>48</v>
      </c>
      <c r="F29" s="5" t="s">
        <v>100</v>
      </c>
      <c r="G29" s="5" t="s">
        <v>42</v>
      </c>
      <c r="H29" s="5" t="s">
        <v>101</v>
      </c>
      <c r="I29" s="5" t="s">
        <v>44</v>
      </c>
      <c r="J29" s="6"/>
      <c r="K29" s="6"/>
      <c r="L29" s="6"/>
      <c r="M29" s="7" t="str">
        <f aca="false">IF(COUNTA(J29:L29)&lt;3,"",IF(COUNTIF(J29:L29,"Y")&gt;=2,"Y","N"))</f>
        <v/>
      </c>
    </row>
    <row r="30" customFormat="false" ht="15" hidden="false" customHeight="false" outlineLevel="0" collapsed="false">
      <c r="A30" s="5" t="s">
        <v>130</v>
      </c>
      <c r="B30" s="5" t="s">
        <v>90</v>
      </c>
      <c r="C30" s="5" t="s">
        <v>39</v>
      </c>
      <c r="D30" s="5" t="n">
        <v>7.3</v>
      </c>
      <c r="E30" s="5" t="s">
        <v>91</v>
      </c>
      <c r="F30" s="5" t="s">
        <v>131</v>
      </c>
      <c r="G30" s="5" t="s">
        <v>56</v>
      </c>
      <c r="H30" s="5" t="s">
        <v>132</v>
      </c>
      <c r="I30" s="5" t="n">
        <v>8.5</v>
      </c>
      <c r="J30" s="6"/>
      <c r="K30" s="6"/>
      <c r="L30" s="6"/>
      <c r="M30" s="7" t="str">
        <f aca="false">IF(COUNTA(J30:L30)&lt;3,"",IF(COUNTIF(J30:L30,"Y")&gt;=2,"Y","N"))</f>
        <v/>
      </c>
    </row>
    <row r="31" customFormat="false" ht="15" hidden="false" customHeight="false" outlineLevel="0" collapsed="false">
      <c r="A31" s="5" t="s">
        <v>133</v>
      </c>
      <c r="B31" s="5" t="s">
        <v>134</v>
      </c>
      <c r="C31" s="5" t="s">
        <v>74</v>
      </c>
      <c r="D31" s="5" t="n">
        <v>6.7</v>
      </c>
      <c r="E31" s="5" t="s">
        <v>135</v>
      </c>
      <c r="F31" s="5" t="s">
        <v>97</v>
      </c>
      <c r="G31" s="5" t="s">
        <v>42</v>
      </c>
      <c r="H31" s="5" t="s">
        <v>98</v>
      </c>
      <c r="I31" s="5" t="n">
        <v>7</v>
      </c>
      <c r="J31" s="6"/>
      <c r="K31" s="6"/>
      <c r="L31" s="6"/>
      <c r="M31" s="7" t="str">
        <f aca="false">IF(COUNTA(J31:L31)&lt;3,"",IF(COUNTIF(J31:L31,"Y")&gt;=2,"Y","N"))</f>
        <v/>
      </c>
    </row>
    <row r="32" customFormat="false" ht="15" hidden="false" customHeight="false" outlineLevel="0" collapsed="false">
      <c r="A32" s="5" t="s">
        <v>136</v>
      </c>
      <c r="B32" s="5" t="s">
        <v>103</v>
      </c>
      <c r="C32" s="5" t="s">
        <v>53</v>
      </c>
      <c r="D32" s="5" t="n">
        <v>7.1</v>
      </c>
      <c r="E32" s="5" t="s">
        <v>104</v>
      </c>
      <c r="F32" s="5" t="s">
        <v>106</v>
      </c>
      <c r="G32" s="5" t="s">
        <v>42</v>
      </c>
      <c r="H32" s="5" t="s">
        <v>48</v>
      </c>
      <c r="I32" s="5" t="n">
        <v>6.5</v>
      </c>
      <c r="J32" s="6"/>
      <c r="K32" s="6"/>
      <c r="L32" s="6"/>
      <c r="M32" s="7" t="str">
        <f aca="false">IF(COUNTA(J32:L32)&lt;3,"",IF(COUNTIF(J32:L32,"Y")&gt;=2,"Y","N"))</f>
        <v/>
      </c>
    </row>
    <row r="33" customFormat="false" ht="15" hidden="false" customHeight="false" outlineLevel="0" collapsed="false">
      <c r="A33" s="5" t="s">
        <v>137</v>
      </c>
      <c r="B33" s="5" t="s">
        <v>125</v>
      </c>
      <c r="C33" s="5" t="s">
        <v>53</v>
      </c>
      <c r="D33" s="5" t="n">
        <v>9.1</v>
      </c>
      <c r="E33" s="5" t="s">
        <v>126</v>
      </c>
      <c r="F33" s="5" t="s">
        <v>77</v>
      </c>
      <c r="G33" s="5" t="s">
        <v>56</v>
      </c>
      <c r="H33" s="5" t="s">
        <v>78</v>
      </c>
      <c r="I33" s="5" t="s">
        <v>44</v>
      </c>
      <c r="J33" s="6"/>
      <c r="K33" s="6"/>
      <c r="L33" s="6"/>
      <c r="M33" s="7" t="str">
        <f aca="false">IF(COUNTA(J33:L33)&lt;3,"",IF(COUNTIF(J33:L33,"Y")&gt;=2,"Y","N"))</f>
        <v/>
      </c>
    </row>
    <row r="34" customFormat="false" ht="15" hidden="false" customHeight="false" outlineLevel="0" collapsed="false">
      <c r="A34" s="5" t="s">
        <v>138</v>
      </c>
      <c r="B34" s="5" t="s">
        <v>139</v>
      </c>
      <c r="C34" s="5" t="s">
        <v>53</v>
      </c>
      <c r="D34" s="5" t="n">
        <v>6.8</v>
      </c>
      <c r="E34" s="5" t="s">
        <v>140</v>
      </c>
      <c r="F34" s="5" t="s">
        <v>100</v>
      </c>
      <c r="G34" s="5" t="s">
        <v>42</v>
      </c>
      <c r="H34" s="5" t="s">
        <v>101</v>
      </c>
      <c r="I34" s="5" t="s">
        <v>44</v>
      </c>
      <c r="J34" s="6"/>
      <c r="K34" s="6"/>
      <c r="L34" s="6"/>
      <c r="M34" s="7" t="str">
        <f aca="false">IF(COUNTA(J34:L34)&lt;3,"",IF(COUNTIF(J34:L34,"Y")&gt;=2,"Y","N"))</f>
        <v/>
      </c>
    </row>
    <row r="35" customFormat="false" ht="15" hidden="false" customHeight="false" outlineLevel="0" collapsed="false">
      <c r="A35" s="5" t="s">
        <v>141</v>
      </c>
      <c r="B35" s="5" t="s">
        <v>139</v>
      </c>
      <c r="C35" s="5" t="s">
        <v>53</v>
      </c>
      <c r="D35" s="5" t="n">
        <v>6.8</v>
      </c>
      <c r="E35" s="5" t="s">
        <v>140</v>
      </c>
      <c r="F35" s="5" t="s">
        <v>131</v>
      </c>
      <c r="G35" s="5" t="s">
        <v>56</v>
      </c>
      <c r="H35" s="5" t="s">
        <v>132</v>
      </c>
      <c r="I35" s="5" t="n">
        <v>8.5</v>
      </c>
      <c r="J35" s="6"/>
      <c r="K35" s="6"/>
      <c r="L35" s="6"/>
      <c r="M35" s="7" t="str">
        <f aca="false">IF(COUNTA(J35:L35)&lt;3,"",IF(COUNTIF(J35:L35,"Y")&gt;=2,"Y","N"))</f>
        <v/>
      </c>
    </row>
    <row r="36" customFormat="false" ht="15" hidden="false" customHeight="false" outlineLevel="0" collapsed="false">
      <c r="A36" s="5" t="s">
        <v>142</v>
      </c>
      <c r="B36" s="5" t="s">
        <v>59</v>
      </c>
      <c r="C36" s="5" t="s">
        <v>53</v>
      </c>
      <c r="D36" s="5" t="n">
        <v>7.5</v>
      </c>
      <c r="E36" s="5" t="s">
        <v>60</v>
      </c>
      <c r="F36" s="5" t="s">
        <v>106</v>
      </c>
      <c r="G36" s="5" t="s">
        <v>42</v>
      </c>
      <c r="H36" s="5" t="s">
        <v>48</v>
      </c>
      <c r="I36" s="5" t="n">
        <v>6.5</v>
      </c>
      <c r="J36" s="6"/>
      <c r="K36" s="6"/>
      <c r="L36" s="6"/>
      <c r="M36" s="7" t="str">
        <f aca="false">IF(COUNTA(J36:L36)&lt;3,"",IF(COUNTIF(J36:L36,"Y")&gt;=2,"Y","N"))</f>
        <v/>
      </c>
    </row>
    <row r="37" customFormat="false" ht="15" hidden="false" customHeight="false" outlineLevel="0" collapsed="false">
      <c r="A37" s="5" t="s">
        <v>143</v>
      </c>
      <c r="B37" s="5" t="s">
        <v>113</v>
      </c>
      <c r="C37" s="5" t="s">
        <v>39</v>
      </c>
      <c r="D37" s="5" t="n">
        <v>8.2</v>
      </c>
      <c r="E37" s="5" t="s">
        <v>114</v>
      </c>
      <c r="F37" s="5" t="s">
        <v>118</v>
      </c>
      <c r="G37" s="5" t="s">
        <v>56</v>
      </c>
      <c r="H37" s="5" t="s">
        <v>119</v>
      </c>
      <c r="I37" s="5" t="s">
        <v>44</v>
      </c>
      <c r="J37" s="6"/>
      <c r="K37" s="6"/>
      <c r="L37" s="6"/>
      <c r="M37" s="7" t="str">
        <f aca="false">IF(COUNTA(J37:L37)&lt;3,"",IF(COUNTIF(J37:L37,"Y")&gt;=2,"Y","N"))</f>
        <v/>
      </c>
    </row>
    <row r="38" customFormat="false" ht="15" hidden="false" customHeight="false" outlineLevel="0" collapsed="false">
      <c r="A38" s="5" t="s">
        <v>144</v>
      </c>
      <c r="B38" s="5" t="s">
        <v>52</v>
      </c>
      <c r="C38" s="5" t="s">
        <v>53</v>
      </c>
      <c r="D38" s="5" t="n">
        <v>8</v>
      </c>
      <c r="E38" s="5" t="s">
        <v>54</v>
      </c>
      <c r="F38" s="5" t="s">
        <v>106</v>
      </c>
      <c r="G38" s="5" t="s">
        <v>42</v>
      </c>
      <c r="H38" s="5" t="s">
        <v>48</v>
      </c>
      <c r="I38" s="5" t="n">
        <v>6.5</v>
      </c>
      <c r="J38" s="6"/>
      <c r="K38" s="6"/>
      <c r="L38" s="6"/>
      <c r="M38" s="7" t="str">
        <f aca="false">IF(COUNTA(J38:L38)&lt;3,"",IF(COUNTIF(J38:L38,"Y")&gt;=2,"Y","N"))</f>
        <v/>
      </c>
    </row>
    <row r="39" customFormat="false" ht="15" hidden="false" customHeight="false" outlineLevel="0" collapsed="false">
      <c r="A39" s="5" t="s">
        <v>145</v>
      </c>
      <c r="B39" s="5" t="s">
        <v>146</v>
      </c>
      <c r="C39" s="5" t="s">
        <v>53</v>
      </c>
      <c r="D39" s="5" t="n">
        <v>8.7</v>
      </c>
      <c r="E39" s="5" t="s">
        <v>147</v>
      </c>
      <c r="F39" s="5" t="s">
        <v>97</v>
      </c>
      <c r="G39" s="5" t="s">
        <v>42</v>
      </c>
      <c r="H39" s="5" t="s">
        <v>98</v>
      </c>
      <c r="I39" s="5" t="n">
        <v>7</v>
      </c>
      <c r="J39" s="6"/>
      <c r="K39" s="6"/>
      <c r="L39" s="6"/>
      <c r="M39" s="7" t="str">
        <f aca="false">IF(COUNTA(J39:L39)&lt;3,"",IF(COUNTIF(J39:L39,"Y")&gt;=2,"Y","N"))</f>
        <v/>
      </c>
    </row>
    <row r="40" customFormat="false" ht="15" hidden="false" customHeight="false" outlineLevel="0" collapsed="false">
      <c r="A40" s="5" t="s">
        <v>148</v>
      </c>
      <c r="B40" s="5" t="s">
        <v>108</v>
      </c>
      <c r="C40" s="5" t="s">
        <v>53</v>
      </c>
      <c r="D40" s="5" t="n">
        <v>8.3</v>
      </c>
      <c r="E40" s="5" t="s">
        <v>101</v>
      </c>
      <c r="F40" s="5" t="s">
        <v>118</v>
      </c>
      <c r="G40" s="5" t="s">
        <v>56</v>
      </c>
      <c r="H40" s="5" t="s">
        <v>119</v>
      </c>
      <c r="I40" s="5" t="s">
        <v>44</v>
      </c>
      <c r="J40" s="6"/>
      <c r="K40" s="6"/>
      <c r="L40" s="6"/>
      <c r="M40" s="7" t="str">
        <f aca="false">IF(COUNTA(J40:L40)&lt;3,"",IF(COUNTIF(J40:L40,"Y")&gt;=2,"Y","N"))</f>
        <v/>
      </c>
    </row>
    <row r="41" customFormat="false" ht="15" hidden="false" customHeight="false" outlineLevel="0" collapsed="false">
      <c r="A41" s="5" t="s">
        <v>149</v>
      </c>
      <c r="B41" s="5" t="s">
        <v>150</v>
      </c>
      <c r="C41" s="5" t="s">
        <v>53</v>
      </c>
      <c r="D41" s="5" t="n">
        <v>8</v>
      </c>
      <c r="E41" s="5" t="s">
        <v>119</v>
      </c>
      <c r="F41" s="5" t="s">
        <v>80</v>
      </c>
      <c r="G41" s="5" t="s">
        <v>56</v>
      </c>
      <c r="H41" s="5" t="s">
        <v>60</v>
      </c>
      <c r="I41" s="5" t="s">
        <v>44</v>
      </c>
      <c r="J41" s="6"/>
      <c r="K41" s="6"/>
      <c r="L41" s="6"/>
      <c r="M41" s="7" t="str">
        <f aca="false">IF(COUNTA(J41:L41)&lt;3,"",IF(COUNTIF(J41:L41,"Y")&gt;=2,"Y","N"))</f>
        <v/>
      </c>
    </row>
    <row r="42" customFormat="false" ht="15" hidden="false" customHeight="false" outlineLevel="0" collapsed="false">
      <c r="A42" s="5" t="s">
        <v>151</v>
      </c>
      <c r="B42" s="5" t="s">
        <v>125</v>
      </c>
      <c r="C42" s="5" t="s">
        <v>53</v>
      </c>
      <c r="D42" s="5" t="n">
        <v>9.1</v>
      </c>
      <c r="E42" s="5" t="s">
        <v>126</v>
      </c>
      <c r="F42" s="5" t="s">
        <v>106</v>
      </c>
      <c r="G42" s="5" t="s">
        <v>42</v>
      </c>
      <c r="H42" s="5" t="s">
        <v>48</v>
      </c>
      <c r="I42" s="5" t="n">
        <v>6.5</v>
      </c>
      <c r="J42" s="6"/>
      <c r="K42" s="6"/>
      <c r="L42" s="6"/>
      <c r="M42" s="7" t="str">
        <f aca="false">IF(COUNTA(J42:L42)&lt;3,"",IF(COUNTIF(J42:L42,"Y")&gt;=2,"Y","N"))</f>
        <v/>
      </c>
    </row>
    <row r="43" customFormat="false" ht="15" hidden="false" customHeight="false" outlineLevel="0" collapsed="false">
      <c r="A43" s="5" t="s">
        <v>152</v>
      </c>
      <c r="B43" s="5" t="s">
        <v>62</v>
      </c>
      <c r="C43" s="5" t="s">
        <v>53</v>
      </c>
      <c r="D43" s="5" t="n">
        <v>8.2</v>
      </c>
      <c r="E43" s="5" t="s">
        <v>63</v>
      </c>
      <c r="F43" s="5" t="s">
        <v>100</v>
      </c>
      <c r="G43" s="5" t="s">
        <v>42</v>
      </c>
      <c r="H43" s="5" t="s">
        <v>101</v>
      </c>
      <c r="I43" s="5" t="s">
        <v>44</v>
      </c>
      <c r="J43" s="6"/>
      <c r="K43" s="6"/>
      <c r="L43" s="6"/>
      <c r="M43" s="7" t="str">
        <f aca="false">IF(COUNTA(J43:L43)&lt;3,"",IF(COUNTIF(J43:L43,"Y")&gt;=2,"Y","N"))</f>
        <v/>
      </c>
    </row>
    <row r="44" customFormat="false" ht="15" hidden="false" customHeight="false" outlineLevel="0" collapsed="false">
      <c r="A44" s="5" t="s">
        <v>153</v>
      </c>
      <c r="B44" s="5" t="s">
        <v>67</v>
      </c>
      <c r="C44" s="5" t="s">
        <v>53</v>
      </c>
      <c r="D44" s="5" t="n">
        <v>8.4</v>
      </c>
      <c r="E44" s="5" t="s">
        <v>68</v>
      </c>
      <c r="F44" s="5" t="s">
        <v>118</v>
      </c>
      <c r="G44" s="5" t="s">
        <v>56</v>
      </c>
      <c r="H44" s="5" t="s">
        <v>119</v>
      </c>
      <c r="I44" s="5" t="s">
        <v>44</v>
      </c>
      <c r="J44" s="6"/>
      <c r="K44" s="6"/>
      <c r="L44" s="6"/>
      <c r="M44" s="7" t="str">
        <f aca="false">IF(COUNTA(J44:L44)&lt;3,"",IF(COUNTIF(J44:L44,"Y")&gt;=2,"Y","N"))</f>
        <v/>
      </c>
    </row>
    <row r="45" customFormat="false" ht="15" hidden="false" customHeight="false" outlineLevel="0" collapsed="false">
      <c r="A45" s="5" t="s">
        <v>154</v>
      </c>
      <c r="B45" s="5" t="s">
        <v>134</v>
      </c>
      <c r="C45" s="5" t="s">
        <v>74</v>
      </c>
      <c r="D45" s="5" t="n">
        <v>6.7</v>
      </c>
      <c r="E45" s="5" t="s">
        <v>135</v>
      </c>
      <c r="F45" s="5" t="s">
        <v>64</v>
      </c>
      <c r="G45" s="5" t="s">
        <v>42</v>
      </c>
      <c r="H45" s="5" t="s">
        <v>65</v>
      </c>
      <c r="I45" s="5" t="s">
        <v>44</v>
      </c>
      <c r="J45" s="6"/>
      <c r="K45" s="6"/>
      <c r="L45" s="6"/>
      <c r="M45" s="7" t="str">
        <f aca="false">IF(COUNTA(J45:L45)&lt;3,"",IF(COUNTIF(J45:L45,"Y")&gt;=2,"Y","N"))</f>
        <v/>
      </c>
    </row>
    <row r="46" customFormat="false" ht="15" hidden="false" customHeight="false" outlineLevel="0" collapsed="false">
      <c r="A46" s="5" t="s">
        <v>155</v>
      </c>
      <c r="B46" s="5" t="s">
        <v>122</v>
      </c>
      <c r="C46" s="5" t="s">
        <v>39</v>
      </c>
      <c r="D46" s="5" t="n">
        <v>7.4</v>
      </c>
      <c r="E46" s="5" t="s">
        <v>123</v>
      </c>
      <c r="F46" s="5" t="s">
        <v>77</v>
      </c>
      <c r="G46" s="5" t="s">
        <v>56</v>
      </c>
      <c r="H46" s="5" t="s">
        <v>78</v>
      </c>
      <c r="I46" s="5" t="s">
        <v>44</v>
      </c>
      <c r="J46" s="6"/>
      <c r="K46" s="6"/>
      <c r="L46" s="6"/>
      <c r="M46" s="7" t="str">
        <f aca="false">IF(COUNTA(J46:L46)&lt;3,"",IF(COUNTIF(J46:L46,"Y")&gt;=2,"Y","N"))</f>
        <v/>
      </c>
    </row>
    <row r="47" customFormat="false" ht="15" hidden="false" customHeight="false" outlineLevel="0" collapsed="false">
      <c r="A47" s="5" t="s">
        <v>156</v>
      </c>
      <c r="B47" s="5" t="s">
        <v>157</v>
      </c>
      <c r="C47" s="5" t="s">
        <v>39</v>
      </c>
      <c r="D47" s="5" t="n">
        <v>6.9</v>
      </c>
      <c r="E47" s="5" t="s">
        <v>101</v>
      </c>
      <c r="F47" s="5" t="s">
        <v>118</v>
      </c>
      <c r="G47" s="5" t="s">
        <v>56</v>
      </c>
      <c r="H47" s="5" t="s">
        <v>119</v>
      </c>
      <c r="I47" s="5" t="s">
        <v>44</v>
      </c>
      <c r="J47" s="6"/>
      <c r="K47" s="6"/>
      <c r="L47" s="6"/>
      <c r="M47" s="7" t="str">
        <f aca="false">IF(COUNTA(J47:L47)&lt;3,"",IF(COUNTIF(J47:L47,"Y")&gt;=2,"Y","N"))</f>
        <v/>
      </c>
    </row>
    <row r="48" customFormat="false" ht="15" hidden="false" customHeight="false" outlineLevel="0" collapsed="false">
      <c r="A48" s="5" t="s">
        <v>158</v>
      </c>
      <c r="B48" s="5" t="s">
        <v>116</v>
      </c>
      <c r="C48" s="5" t="s">
        <v>53</v>
      </c>
      <c r="D48" s="5" t="n">
        <v>8.4</v>
      </c>
      <c r="E48" s="5" t="s">
        <v>117</v>
      </c>
      <c r="F48" s="5" t="s">
        <v>100</v>
      </c>
      <c r="G48" s="5" t="s">
        <v>42</v>
      </c>
      <c r="H48" s="5" t="s">
        <v>101</v>
      </c>
      <c r="I48" s="5" t="s">
        <v>44</v>
      </c>
      <c r="J48" s="6"/>
      <c r="K48" s="6"/>
      <c r="L48" s="6"/>
      <c r="M48" s="7" t="str">
        <f aca="false">IF(COUNTA(J48:L48)&lt;3,"",IF(COUNTIF(J48:L48,"Y")&gt;=2,"Y","N"))</f>
        <v/>
      </c>
    </row>
    <row r="49" customFormat="false" ht="15" hidden="false" customHeight="false" outlineLevel="0" collapsed="false">
      <c r="A49" s="5" t="s">
        <v>159</v>
      </c>
      <c r="B49" s="5" t="s">
        <v>62</v>
      </c>
      <c r="C49" s="5" t="s">
        <v>53</v>
      </c>
      <c r="D49" s="5" t="n">
        <v>8.2</v>
      </c>
      <c r="E49" s="5" t="s">
        <v>63</v>
      </c>
      <c r="F49" s="5" t="s">
        <v>92</v>
      </c>
      <c r="G49" s="5" t="s">
        <v>42</v>
      </c>
      <c r="H49" s="5" t="s">
        <v>93</v>
      </c>
      <c r="I49" s="5" t="s">
        <v>44</v>
      </c>
      <c r="J49" s="6"/>
      <c r="K49" s="6"/>
      <c r="L49" s="6"/>
      <c r="M49" s="7" t="str">
        <f aca="false">IF(COUNTA(J49:L49)&lt;3,"",IF(COUNTIF(J49:L49,"Y")&gt;=2,"Y","N"))</f>
        <v/>
      </c>
    </row>
    <row r="50" customFormat="false" ht="15" hidden="false" customHeight="false" outlineLevel="0" collapsed="false">
      <c r="A50" s="5" t="s">
        <v>160</v>
      </c>
      <c r="B50" s="5" t="s">
        <v>84</v>
      </c>
      <c r="C50" s="5" t="s">
        <v>53</v>
      </c>
      <c r="D50" s="5" t="n">
        <v>8.9</v>
      </c>
      <c r="E50" s="5" t="s">
        <v>43</v>
      </c>
      <c r="F50" s="5" t="s">
        <v>41</v>
      </c>
      <c r="G50" s="5" t="s">
        <v>42</v>
      </c>
      <c r="H50" s="5" t="s">
        <v>43</v>
      </c>
      <c r="I50" s="5" t="s">
        <v>44</v>
      </c>
      <c r="J50" s="6"/>
      <c r="K50" s="6"/>
      <c r="L50" s="6"/>
      <c r="M50" s="7" t="str">
        <f aca="false">IF(COUNTA(J50:L50)&lt;3,"",IF(COUNTIF(J50:L50,"Y")&gt;=2,"Y","N"))</f>
        <v/>
      </c>
    </row>
    <row r="51" customFormat="false" ht="15" hidden="false" customHeight="false" outlineLevel="0" collapsed="false">
      <c r="A51" s="5" t="s">
        <v>161</v>
      </c>
      <c r="B51" s="5" t="s">
        <v>70</v>
      </c>
      <c r="C51" s="5" t="s">
        <v>53</v>
      </c>
      <c r="D51" s="5" t="n">
        <v>7.8</v>
      </c>
      <c r="E51" s="5" t="s">
        <v>71</v>
      </c>
      <c r="F51" s="5" t="s">
        <v>55</v>
      </c>
      <c r="G51" s="5" t="s">
        <v>56</v>
      </c>
      <c r="H51" s="5" t="s">
        <v>57</v>
      </c>
      <c r="I51" s="5" t="s">
        <v>44</v>
      </c>
      <c r="J51" s="6"/>
      <c r="K51" s="6"/>
      <c r="L51" s="6"/>
      <c r="M51" s="7" t="str">
        <f aca="false">IF(COUNTA(J51:L51)&lt;3,"",IF(COUNTIF(J51:L51,"Y")&gt;=2,"Y","N"))</f>
        <v/>
      </c>
    </row>
    <row r="52" customFormat="false" ht="15" hidden="false" customHeight="false" outlineLevel="0" collapsed="false">
      <c r="A52" s="5" t="s">
        <v>162</v>
      </c>
      <c r="B52" s="5" t="s">
        <v>67</v>
      </c>
      <c r="C52" s="5" t="s">
        <v>53</v>
      </c>
      <c r="D52" s="5" t="n">
        <v>8.4</v>
      </c>
      <c r="E52" s="5" t="s">
        <v>68</v>
      </c>
      <c r="F52" s="5" t="s">
        <v>97</v>
      </c>
      <c r="G52" s="5" t="s">
        <v>42</v>
      </c>
      <c r="H52" s="5" t="s">
        <v>98</v>
      </c>
      <c r="I52" s="5" t="n">
        <v>7</v>
      </c>
      <c r="J52" s="6"/>
      <c r="K52" s="6"/>
      <c r="L52" s="6"/>
      <c r="M52" s="7" t="str">
        <f aca="false">IF(COUNTA(J52:L52)&lt;3,"",IF(COUNTIF(J52:L52,"Y")&gt;=2,"Y","N"))</f>
        <v/>
      </c>
    </row>
    <row r="53" customFormat="false" ht="15" hidden="false" customHeight="false" outlineLevel="0" collapsed="false">
      <c r="A53" s="5" t="s">
        <v>163</v>
      </c>
      <c r="B53" s="5" t="s">
        <v>164</v>
      </c>
      <c r="C53" s="5" t="s">
        <v>53</v>
      </c>
      <c r="D53" s="5" t="n">
        <v>8.7</v>
      </c>
      <c r="E53" s="5" t="s">
        <v>132</v>
      </c>
      <c r="F53" s="5" t="s">
        <v>118</v>
      </c>
      <c r="G53" s="5" t="s">
        <v>56</v>
      </c>
      <c r="H53" s="5" t="s">
        <v>119</v>
      </c>
      <c r="I53" s="5" t="s">
        <v>44</v>
      </c>
      <c r="J53" s="6"/>
      <c r="K53" s="6"/>
      <c r="L53" s="6"/>
      <c r="M53" s="7" t="str">
        <f aca="false">IF(COUNTA(J53:L53)&lt;3,"",IF(COUNTIF(J53:L53,"Y")&gt;=2,"Y","N"))</f>
        <v/>
      </c>
    </row>
    <row r="54" customFormat="false" ht="15" hidden="false" customHeight="false" outlineLevel="0" collapsed="false">
      <c r="A54" s="5" t="s">
        <v>165</v>
      </c>
      <c r="B54" s="5" t="s">
        <v>125</v>
      </c>
      <c r="C54" s="5" t="s">
        <v>53</v>
      </c>
      <c r="D54" s="5" t="n">
        <v>9.1</v>
      </c>
      <c r="E54" s="5" t="s">
        <v>126</v>
      </c>
      <c r="F54" s="5" t="s">
        <v>131</v>
      </c>
      <c r="G54" s="5" t="s">
        <v>56</v>
      </c>
      <c r="H54" s="5" t="s">
        <v>132</v>
      </c>
      <c r="I54" s="5" t="n">
        <v>8.5</v>
      </c>
      <c r="J54" s="6"/>
      <c r="K54" s="6"/>
      <c r="L54" s="6"/>
      <c r="M54" s="7" t="str">
        <f aca="false">IF(COUNTA(J54:L54)&lt;3,"",IF(COUNTIF(J54:L54,"Y")&gt;=2,"Y","N"))</f>
        <v/>
      </c>
    </row>
    <row r="55" customFormat="false" ht="15" hidden="false" customHeight="false" outlineLevel="0" collapsed="false">
      <c r="A55" s="5" t="s">
        <v>166</v>
      </c>
      <c r="B55" s="5" t="s">
        <v>46</v>
      </c>
      <c r="C55" s="5" t="s">
        <v>47</v>
      </c>
      <c r="D55" s="5" t="n">
        <v>7.9</v>
      </c>
      <c r="E55" s="5" t="s">
        <v>48</v>
      </c>
      <c r="F55" s="5" t="s">
        <v>106</v>
      </c>
      <c r="G55" s="5" t="s">
        <v>42</v>
      </c>
      <c r="H55" s="5" t="s">
        <v>48</v>
      </c>
      <c r="I55" s="5" t="n">
        <v>6.5</v>
      </c>
      <c r="J55" s="6"/>
      <c r="K55" s="6"/>
      <c r="L55" s="6"/>
      <c r="M55" s="7" t="str">
        <f aca="false">IF(COUNTA(J55:L55)&lt;3,"",IF(COUNTIF(J55:L55,"Y")&gt;=2,"Y","N"))</f>
        <v/>
      </c>
    </row>
    <row r="56" customFormat="false" ht="15" hidden="false" customHeight="false" outlineLevel="0" collapsed="false">
      <c r="A56" s="5" t="s">
        <v>167</v>
      </c>
      <c r="B56" s="5" t="s">
        <v>113</v>
      </c>
      <c r="C56" s="5" t="s">
        <v>39</v>
      </c>
      <c r="D56" s="5" t="n">
        <v>8.2</v>
      </c>
      <c r="E56" s="5" t="s">
        <v>114</v>
      </c>
      <c r="F56" s="5" t="s">
        <v>106</v>
      </c>
      <c r="G56" s="5" t="s">
        <v>42</v>
      </c>
      <c r="H56" s="5" t="s">
        <v>48</v>
      </c>
      <c r="I56" s="5" t="n">
        <v>6.5</v>
      </c>
      <c r="J56" s="6"/>
      <c r="K56" s="6"/>
      <c r="L56" s="6"/>
      <c r="M56" s="7" t="str">
        <f aca="false">IF(COUNTA(J56:L56)&lt;3,"",IF(COUNTIF(J56:L56,"Y")&gt;=2,"Y","N"))</f>
        <v/>
      </c>
    </row>
    <row r="57" customFormat="false" ht="15" hidden="false" customHeight="false" outlineLevel="0" collapsed="false">
      <c r="A57" s="5" t="s">
        <v>168</v>
      </c>
      <c r="B57" s="5" t="s">
        <v>129</v>
      </c>
      <c r="C57" s="5" t="s">
        <v>53</v>
      </c>
      <c r="D57" s="5" t="n">
        <v>7.4</v>
      </c>
      <c r="E57" s="5" t="s">
        <v>48</v>
      </c>
      <c r="F57" s="5" t="s">
        <v>77</v>
      </c>
      <c r="G57" s="5" t="s">
        <v>56</v>
      </c>
      <c r="H57" s="5" t="s">
        <v>78</v>
      </c>
      <c r="I57" s="5" t="s">
        <v>44</v>
      </c>
      <c r="J57" s="6"/>
      <c r="K57" s="6"/>
      <c r="L57" s="6"/>
      <c r="M57" s="7" t="str">
        <f aca="false">IF(COUNTA(J57:L57)&lt;3,"",IF(COUNTIF(J57:L57,"Y")&gt;=2,"Y","N"))</f>
        <v/>
      </c>
    </row>
    <row r="58" customFormat="false" ht="23.85" hidden="false" customHeight="false" outlineLevel="0" collapsed="false">
      <c r="A58" s="5" t="s">
        <v>169</v>
      </c>
      <c r="B58" s="5" t="s">
        <v>139</v>
      </c>
      <c r="C58" s="5" t="s">
        <v>53</v>
      </c>
      <c r="D58" s="5" t="n">
        <v>6.8</v>
      </c>
      <c r="E58" s="5" t="s">
        <v>140</v>
      </c>
      <c r="F58" s="5" t="s">
        <v>49</v>
      </c>
      <c r="G58" s="5" t="s">
        <v>42</v>
      </c>
      <c r="H58" s="5" t="s">
        <v>50</v>
      </c>
      <c r="I58" s="5" t="n">
        <v>7.5</v>
      </c>
      <c r="J58" s="6"/>
      <c r="K58" s="6"/>
      <c r="L58" s="6"/>
      <c r="M58" s="7" t="str">
        <f aca="false">IF(COUNTA(J58:L58)&lt;3,"",IF(COUNTIF(J58:L58,"Y")&gt;=2,"Y","N"))</f>
        <v/>
      </c>
    </row>
    <row r="59" customFormat="false" ht="15" hidden="false" customHeight="false" outlineLevel="0" collapsed="false">
      <c r="A59" s="5" t="s">
        <v>170</v>
      </c>
      <c r="B59" s="5" t="s">
        <v>125</v>
      </c>
      <c r="C59" s="5" t="s">
        <v>53</v>
      </c>
      <c r="D59" s="5" t="n">
        <v>9.1</v>
      </c>
      <c r="E59" s="5" t="s">
        <v>126</v>
      </c>
      <c r="F59" s="5" t="s">
        <v>97</v>
      </c>
      <c r="G59" s="5" t="s">
        <v>42</v>
      </c>
      <c r="H59" s="5" t="s">
        <v>98</v>
      </c>
      <c r="I59" s="5" t="n">
        <v>7</v>
      </c>
      <c r="J59" s="6"/>
      <c r="K59" s="6"/>
      <c r="L59" s="6"/>
      <c r="M59" s="7" t="str">
        <f aca="false">IF(COUNTA(J59:L59)&lt;3,"",IF(COUNTIF(J59:L59,"Y")&gt;=2,"Y","N"))</f>
        <v/>
      </c>
    </row>
    <row r="60" customFormat="false" ht="15" hidden="false" customHeight="false" outlineLevel="0" collapsed="false">
      <c r="A60" s="5" t="s">
        <v>171</v>
      </c>
      <c r="B60" s="5" t="s">
        <v>52</v>
      </c>
      <c r="C60" s="5" t="s">
        <v>53</v>
      </c>
      <c r="D60" s="5" t="n">
        <v>8</v>
      </c>
      <c r="E60" s="5" t="s">
        <v>54</v>
      </c>
      <c r="F60" s="5" t="s">
        <v>64</v>
      </c>
      <c r="G60" s="5" t="s">
        <v>42</v>
      </c>
      <c r="H60" s="5" t="s">
        <v>65</v>
      </c>
      <c r="I60" s="5" t="s">
        <v>44</v>
      </c>
      <c r="J60" s="6"/>
      <c r="K60" s="6"/>
      <c r="L60" s="6"/>
      <c r="M60" s="7" t="str">
        <f aca="false">IF(COUNTA(J60:L60)&lt;3,"",IF(COUNTIF(J60:L60,"Y")&gt;=2,"Y","N"))</f>
        <v/>
      </c>
    </row>
    <row r="61" customFormat="false" ht="15" hidden="false" customHeight="false" outlineLevel="0" collapsed="false">
      <c r="A61" s="5" t="s">
        <v>172</v>
      </c>
      <c r="B61" s="5" t="s">
        <v>73</v>
      </c>
      <c r="C61" s="5" t="s">
        <v>74</v>
      </c>
      <c r="D61" s="5" t="n">
        <v>7.2</v>
      </c>
      <c r="E61" s="5" t="s">
        <v>75</v>
      </c>
      <c r="F61" s="5" t="s">
        <v>77</v>
      </c>
      <c r="G61" s="5" t="s">
        <v>56</v>
      </c>
      <c r="H61" s="5" t="s">
        <v>78</v>
      </c>
      <c r="I61" s="5" t="s">
        <v>44</v>
      </c>
      <c r="J61" s="6"/>
      <c r="K61" s="6"/>
      <c r="L61" s="6"/>
      <c r="M61" s="7" t="str">
        <f aca="false">IF(COUNTA(J61:L61)&lt;3,"",IF(COUNTIF(J61:L61,"Y")&gt;=2,"Y","N"))</f>
        <v/>
      </c>
    </row>
  </sheetData>
  <dataValidations count="1">
    <dataValidation allowBlank="true" error="Type Y (good fit) or N (not a fit)." errorStyle="stop" errorTitle="Y or N" operator="between" showDropDown="false" showErrorMessage="true" showInputMessage="false" sqref="J2:L6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</cols>
  <sheetData>
    <row r="1" customFormat="false" ht="43.5" hidden="false" customHeight="true" outlineLevel="0" collapsed="false">
      <c r="A1" s="4" t="s">
        <v>24</v>
      </c>
      <c r="B1" s="4" t="s">
        <v>25</v>
      </c>
      <c r="C1" s="4" t="s">
        <v>29</v>
      </c>
      <c r="D1" s="4" t="s">
        <v>173</v>
      </c>
      <c r="E1" s="4" t="s">
        <v>174</v>
      </c>
      <c r="F1" s="4" t="s">
        <v>175</v>
      </c>
      <c r="G1" s="4" t="s">
        <v>176</v>
      </c>
      <c r="H1" s="4" t="s">
        <v>177</v>
      </c>
      <c r="I1" s="4" t="s">
        <v>36</v>
      </c>
      <c r="J1" s="4" t="s">
        <v>178</v>
      </c>
      <c r="K1" s="4" t="s">
        <v>179</v>
      </c>
    </row>
    <row r="2" customFormat="false" ht="15" hidden="false" customHeight="false" outlineLevel="0" collapsed="false">
      <c r="A2" s="8" t="str">
        <f aca="false">'Label pairs'!A2</f>
        <v>P01</v>
      </c>
      <c r="B2" s="9" t="str">
        <f aca="false">'Label pairs'!B2</f>
        <v>Lokesh Reddy</v>
      </c>
      <c r="C2" s="9" t="str">
        <f aca="false">'Label pairs'!F2</f>
        <v>Data Analyst</v>
      </c>
      <c r="D2" s="7" t="n">
        <v>25</v>
      </c>
      <c r="E2" s="7" t="s">
        <v>180</v>
      </c>
      <c r="F2" s="7" t="str">
        <f aca="false">IF(AND(D2&gt;=Results!$C$5,E2="Y"),"Y","N")</f>
        <v>N</v>
      </c>
      <c r="G2" s="7" t="n">
        <v>1</v>
      </c>
      <c r="H2" s="7" t="str">
        <f aca="false">IF(G2&gt;=Results!$C$6,"Y","N")</f>
        <v>N</v>
      </c>
      <c r="I2" s="10" t="str">
        <f aca="false">'Label pairs'!M2</f>
        <v/>
      </c>
      <c r="J2" s="7" t="str">
        <f aca="false">IF(I2="","",IF(F2=I2,1,0))</f>
        <v/>
      </c>
      <c r="K2" s="7" t="str">
        <f aca="false">IF(I2="","",IF(H2=I2,1,0))</f>
        <v/>
      </c>
    </row>
    <row r="3" customFormat="false" ht="15" hidden="false" customHeight="false" outlineLevel="0" collapsed="false">
      <c r="A3" s="8" t="str">
        <f aca="false">'Label pairs'!A3</f>
        <v>P02</v>
      </c>
      <c r="B3" s="9" t="str">
        <f aca="false">'Label pairs'!B3</f>
        <v>Karthik Rao</v>
      </c>
      <c r="C3" s="9" t="str">
        <f aca="false">'Label pairs'!F3</f>
        <v>Microservices Developer</v>
      </c>
      <c r="D3" s="7" t="n">
        <v>20</v>
      </c>
      <c r="E3" s="7" t="s">
        <v>180</v>
      </c>
      <c r="F3" s="7" t="str">
        <f aca="false">IF(AND(D3&gt;=Results!$C$5,E3="Y"),"Y","N")</f>
        <v>N</v>
      </c>
      <c r="G3" s="7" t="n">
        <v>1</v>
      </c>
      <c r="H3" s="7" t="str">
        <f aca="false">IF(G3&gt;=Results!$C$6,"Y","N")</f>
        <v>N</v>
      </c>
      <c r="I3" s="10" t="str">
        <f aca="false">'Label pairs'!M3</f>
        <v/>
      </c>
      <c r="J3" s="7" t="str">
        <f aca="false">IF(I3="","",IF(F3=I3,1,0))</f>
        <v/>
      </c>
      <c r="K3" s="7" t="str">
        <f aca="false">IF(I3="","",IF(H3=I3,1,0))</f>
        <v/>
      </c>
    </row>
    <row r="4" customFormat="false" ht="15" hidden="false" customHeight="false" outlineLevel="0" collapsed="false">
      <c r="A4" s="8" t="str">
        <f aca="false">'Label pairs'!A4</f>
        <v>P03</v>
      </c>
      <c r="B4" s="9" t="str">
        <f aca="false">'Label pairs'!B4</f>
        <v>Manasa Gowda</v>
      </c>
      <c r="C4" s="9" t="str">
        <f aca="false">'Label pairs'!F4</f>
        <v>QA Automation Engineer</v>
      </c>
      <c r="D4" s="7" t="n">
        <v>50</v>
      </c>
      <c r="E4" s="7" t="s">
        <v>180</v>
      </c>
      <c r="F4" s="7" t="str">
        <f aca="false">IF(AND(D4&gt;=Results!$C$5,E4="Y"),"Y","N")</f>
        <v>N</v>
      </c>
      <c r="G4" s="7" t="n">
        <v>2</v>
      </c>
      <c r="H4" s="7" t="str">
        <f aca="false">IF(G4&gt;=Results!$C$6,"Y","N")</f>
        <v>Y</v>
      </c>
      <c r="I4" s="10" t="str">
        <f aca="false">'Label pairs'!M4</f>
        <v/>
      </c>
      <c r="J4" s="7" t="str">
        <f aca="false">IF(I4="","",IF(F4=I4,1,0))</f>
        <v/>
      </c>
      <c r="K4" s="7" t="str">
        <f aca="false">IF(I4="","",IF(H4=I4,1,0))</f>
        <v/>
      </c>
    </row>
    <row r="5" customFormat="false" ht="15" hidden="false" customHeight="false" outlineLevel="0" collapsed="false">
      <c r="A5" s="8" t="str">
        <f aca="false">'Label pairs'!A5</f>
        <v>P04</v>
      </c>
      <c r="B5" s="9" t="str">
        <f aca="false">'Label pairs'!B5</f>
        <v>Harsha Vardhan</v>
      </c>
      <c r="C5" s="9" t="str">
        <f aca="false">'Label pairs'!F5</f>
        <v>QA Automation Engineer</v>
      </c>
      <c r="D5" s="7" t="n">
        <v>50</v>
      </c>
      <c r="E5" s="7" t="s">
        <v>180</v>
      </c>
      <c r="F5" s="7" t="str">
        <f aca="false">IF(AND(D5&gt;=Results!$C$5,E5="Y"),"Y","N")</f>
        <v>N</v>
      </c>
      <c r="G5" s="7" t="n">
        <v>2</v>
      </c>
      <c r="H5" s="7" t="str">
        <f aca="false">IF(G5&gt;=Results!$C$6,"Y","N")</f>
        <v>Y</v>
      </c>
      <c r="I5" s="10" t="str">
        <f aca="false">'Label pairs'!M5</f>
        <v/>
      </c>
      <c r="J5" s="7" t="str">
        <f aca="false">IF(I5="","",IF(F5=I5,1,0))</f>
        <v/>
      </c>
      <c r="K5" s="7" t="str">
        <f aca="false">IF(I5="","",IF(H5=I5,1,0))</f>
        <v/>
      </c>
    </row>
    <row r="6" customFormat="false" ht="15" hidden="false" customHeight="false" outlineLevel="0" collapsed="false">
      <c r="A6" s="8" t="str">
        <f aca="false">'Label pairs'!A6</f>
        <v>P05</v>
      </c>
      <c r="B6" s="9" t="str">
        <f aca="false">'Label pairs'!B6</f>
        <v>Aarav Sharma</v>
      </c>
      <c r="C6" s="9" t="str">
        <f aca="false">'Label pairs'!F6</f>
        <v>Java Backend Developer</v>
      </c>
      <c r="D6" s="7" t="n">
        <v>60</v>
      </c>
      <c r="E6" s="7" t="s">
        <v>180</v>
      </c>
      <c r="F6" s="7" t="str">
        <f aca="false">IF(AND(D6&gt;=Results!$C$5,E6="Y"),"Y","N")</f>
        <v>N</v>
      </c>
      <c r="G6" s="7" t="n">
        <v>3</v>
      </c>
      <c r="H6" s="7" t="str">
        <f aca="false">IF(G6&gt;=Results!$C$6,"Y","N")</f>
        <v>Y</v>
      </c>
      <c r="I6" s="10" t="str">
        <f aca="false">'Label pairs'!M6</f>
        <v/>
      </c>
      <c r="J6" s="7" t="str">
        <f aca="false">IF(I6="","",IF(F6=I6,1,0))</f>
        <v/>
      </c>
      <c r="K6" s="7" t="str">
        <f aca="false">IF(I6="","",IF(H6=I6,1,0))</f>
        <v/>
      </c>
    </row>
    <row r="7" customFormat="false" ht="15" hidden="false" customHeight="false" outlineLevel="0" collapsed="false">
      <c r="A7" s="8" t="str">
        <f aca="false">'Label pairs'!A7</f>
        <v>P06</v>
      </c>
      <c r="B7" s="9" t="str">
        <f aca="false">'Label pairs'!B7</f>
        <v>Meera Pillai</v>
      </c>
      <c r="C7" s="9" t="str">
        <f aca="false">'Label pairs'!F7</f>
        <v>Java Backend Developer</v>
      </c>
      <c r="D7" s="7" t="n">
        <v>80</v>
      </c>
      <c r="E7" s="7" t="s">
        <v>180</v>
      </c>
      <c r="F7" s="7" t="str">
        <f aca="false">IF(AND(D7&gt;=Results!$C$5,E7="Y"),"Y","N")</f>
        <v>Y</v>
      </c>
      <c r="G7" s="7" t="n">
        <v>4</v>
      </c>
      <c r="H7" s="7" t="str">
        <f aca="false">IF(G7&gt;=Results!$C$6,"Y","N")</f>
        <v>Y</v>
      </c>
      <c r="I7" s="10" t="str">
        <f aca="false">'Label pairs'!M7</f>
        <v/>
      </c>
      <c r="J7" s="7" t="str">
        <f aca="false">IF(I7="","",IF(F7=I7,1,0))</f>
        <v/>
      </c>
      <c r="K7" s="7" t="str">
        <f aca="false">IF(I7="","",IF(H7=I7,1,0))</f>
        <v/>
      </c>
    </row>
    <row r="8" customFormat="false" ht="15" hidden="false" customHeight="false" outlineLevel="0" collapsed="false">
      <c r="A8" s="8" t="str">
        <f aca="false">'Label pairs'!A8</f>
        <v>P07</v>
      </c>
      <c r="B8" s="9" t="str">
        <f aca="false">'Label pairs'!B8</f>
        <v>Aditya Kulkarni</v>
      </c>
      <c r="C8" s="9" t="str">
        <f aca="false">'Label pairs'!F8</f>
        <v>Java Backend Developer</v>
      </c>
      <c r="D8" s="7" t="n">
        <v>60</v>
      </c>
      <c r="E8" s="7" t="s">
        <v>180</v>
      </c>
      <c r="F8" s="7" t="str">
        <f aca="false">IF(AND(D8&gt;=Results!$C$5,E8="Y"),"Y","N")</f>
        <v>N</v>
      </c>
      <c r="G8" s="7" t="n">
        <v>3</v>
      </c>
      <c r="H8" s="7" t="str">
        <f aca="false">IF(G8&gt;=Results!$C$6,"Y","N")</f>
        <v>Y</v>
      </c>
      <c r="I8" s="10" t="str">
        <f aca="false">'Label pairs'!M8</f>
        <v/>
      </c>
      <c r="J8" s="7" t="str">
        <f aca="false">IF(I8="","",IF(F8=I8,1,0))</f>
        <v/>
      </c>
      <c r="K8" s="7" t="str">
        <f aca="false">IF(I8="","",IF(H8=I8,1,0))</f>
        <v/>
      </c>
    </row>
    <row r="9" customFormat="false" ht="15" hidden="false" customHeight="false" outlineLevel="0" collapsed="false">
      <c r="A9" s="8" t="str">
        <f aca="false">'Label pairs'!A9</f>
        <v>P08</v>
      </c>
      <c r="B9" s="9" t="str">
        <f aca="false">'Label pairs'!B9</f>
        <v>Arjun Patel</v>
      </c>
      <c r="C9" s="9" t="str">
        <f aca="false">'Label pairs'!F9</f>
        <v>Java Backend Developer</v>
      </c>
      <c r="D9" s="7" t="n">
        <v>40</v>
      </c>
      <c r="E9" s="7" t="s">
        <v>180</v>
      </c>
      <c r="F9" s="7" t="str">
        <f aca="false">IF(AND(D9&gt;=Results!$C$5,E9="Y"),"Y","N")</f>
        <v>N</v>
      </c>
      <c r="G9" s="7" t="n">
        <v>2</v>
      </c>
      <c r="H9" s="7" t="str">
        <f aca="false">IF(G9&gt;=Results!$C$6,"Y","N")</f>
        <v>Y</v>
      </c>
      <c r="I9" s="10" t="str">
        <f aca="false">'Label pairs'!M9</f>
        <v/>
      </c>
      <c r="J9" s="7" t="str">
        <f aca="false">IF(I9="","",IF(F9=I9,1,0))</f>
        <v/>
      </c>
      <c r="K9" s="7" t="str">
        <f aca="false">IF(I9="","",IF(H9=I9,1,0))</f>
        <v/>
      </c>
    </row>
    <row r="10" customFormat="false" ht="15" hidden="false" customHeight="false" outlineLevel="0" collapsed="false">
      <c r="A10" s="8" t="str">
        <f aca="false">'Label pairs'!A10</f>
        <v>P09</v>
      </c>
      <c r="B10" s="9" t="str">
        <f aca="false">'Label pairs'!B10</f>
        <v>Harsha Vardhan</v>
      </c>
      <c r="C10" s="9" t="str">
        <f aca="false">'Label pairs'!F10</f>
        <v>Full Stack Developer</v>
      </c>
      <c r="D10" s="7" t="n">
        <v>40</v>
      </c>
      <c r="E10" s="7" t="s">
        <v>180</v>
      </c>
      <c r="F10" s="7" t="str">
        <f aca="false">IF(AND(D10&gt;=Results!$C$5,E10="Y"),"Y","N")</f>
        <v>N</v>
      </c>
      <c r="G10" s="7" t="n">
        <v>2</v>
      </c>
      <c r="H10" s="7" t="str">
        <f aca="false">IF(G10&gt;=Results!$C$6,"Y","N")</f>
        <v>Y</v>
      </c>
      <c r="I10" s="10" t="str">
        <f aca="false">'Label pairs'!M10</f>
        <v/>
      </c>
      <c r="J10" s="7" t="str">
        <f aca="false">IF(I10="","",IF(F10=I10,1,0))</f>
        <v/>
      </c>
      <c r="K10" s="7" t="str">
        <f aca="false">IF(I10="","",IF(H10=I10,1,0))</f>
        <v/>
      </c>
    </row>
    <row r="11" customFormat="false" ht="15" hidden="false" customHeight="false" outlineLevel="0" collapsed="false">
      <c r="A11" s="8" t="str">
        <f aca="false">'Label pairs'!A11</f>
        <v>P10</v>
      </c>
      <c r="B11" s="9" t="str">
        <f aca="false">'Label pairs'!B11</f>
        <v>Arjun Patel</v>
      </c>
      <c r="C11" s="9" t="str">
        <f aca="false">'Label pairs'!F11</f>
        <v>Java Developer Intern</v>
      </c>
      <c r="D11" s="7" t="n">
        <v>33</v>
      </c>
      <c r="E11" s="7" t="s">
        <v>180</v>
      </c>
      <c r="F11" s="7" t="str">
        <f aca="false">IF(AND(D11&gt;=Results!$C$5,E11="Y"),"Y","N")</f>
        <v>N</v>
      </c>
      <c r="G11" s="7" t="n">
        <v>1</v>
      </c>
      <c r="H11" s="7" t="str">
        <f aca="false">IF(G11&gt;=Results!$C$6,"Y","N")</f>
        <v>N</v>
      </c>
      <c r="I11" s="10" t="str">
        <f aca="false">'Label pairs'!M11</f>
        <v/>
      </c>
      <c r="J11" s="7" t="str">
        <f aca="false">IF(I11="","",IF(F11=I11,1,0))</f>
        <v/>
      </c>
      <c r="K11" s="7" t="str">
        <f aca="false">IF(I11="","",IF(H11=I11,1,0))</f>
        <v/>
      </c>
    </row>
    <row r="12" customFormat="false" ht="15" hidden="false" customHeight="false" outlineLevel="0" collapsed="false">
      <c r="A12" s="8" t="str">
        <f aca="false">'Label pairs'!A12</f>
        <v>P11</v>
      </c>
      <c r="B12" s="9" t="str">
        <f aca="false">'Label pairs'!B12</f>
        <v>Tarun Agarwal</v>
      </c>
      <c r="C12" s="9" t="str">
        <f aca="false">'Label pairs'!F12</f>
        <v>QA Automation Engineer</v>
      </c>
      <c r="D12" s="7" t="n">
        <v>75</v>
      </c>
      <c r="E12" s="7" t="s">
        <v>180</v>
      </c>
      <c r="F12" s="7" t="str">
        <f aca="false">IF(AND(D12&gt;=Results!$C$5,E12="Y"),"Y","N")</f>
        <v>Y</v>
      </c>
      <c r="G12" s="7" t="n">
        <v>3</v>
      </c>
      <c r="H12" s="7" t="str">
        <f aca="false">IF(G12&gt;=Results!$C$6,"Y","N")</f>
        <v>Y</v>
      </c>
      <c r="I12" s="10" t="str">
        <f aca="false">'Label pairs'!M12</f>
        <v/>
      </c>
      <c r="J12" s="7" t="str">
        <f aca="false">IF(I12="","",IF(F12=I12,1,0))</f>
        <v/>
      </c>
      <c r="K12" s="7" t="str">
        <f aca="false">IF(I12="","",IF(H12=I12,1,0))</f>
        <v/>
      </c>
    </row>
    <row r="13" customFormat="false" ht="15" hidden="false" customHeight="false" outlineLevel="0" collapsed="false">
      <c r="A13" s="8" t="str">
        <f aca="false">'Label pairs'!A13</f>
        <v>P12</v>
      </c>
      <c r="B13" s="9" t="str">
        <f aca="false">'Label pairs'!B13</f>
        <v>Divya Menon</v>
      </c>
      <c r="C13" s="9" t="str">
        <f aca="false">'Label pairs'!F13</f>
        <v>QA Automation Engineer</v>
      </c>
      <c r="D13" s="7" t="n">
        <v>25</v>
      </c>
      <c r="E13" s="7" t="s">
        <v>180</v>
      </c>
      <c r="F13" s="7" t="str">
        <f aca="false">IF(AND(D13&gt;=Results!$C$5,E13="Y"),"Y","N")</f>
        <v>N</v>
      </c>
      <c r="G13" s="7" t="n">
        <v>1</v>
      </c>
      <c r="H13" s="7" t="str">
        <f aca="false">IF(G13&gt;=Results!$C$6,"Y","N")</f>
        <v>N</v>
      </c>
      <c r="I13" s="10" t="str">
        <f aca="false">'Label pairs'!M13</f>
        <v/>
      </c>
      <c r="J13" s="7" t="str">
        <f aca="false">IF(I13="","",IF(F13=I13,1,0))</f>
        <v/>
      </c>
      <c r="K13" s="7" t="str">
        <f aca="false">IF(I13="","",IF(H13=I13,1,0))</f>
        <v/>
      </c>
    </row>
    <row r="14" customFormat="false" ht="15" hidden="false" customHeight="false" outlineLevel="0" collapsed="false">
      <c r="A14" s="8" t="str">
        <f aca="false">'Label pairs'!A14</f>
        <v>P13</v>
      </c>
      <c r="B14" s="9" t="str">
        <f aca="false">'Label pairs'!B14</f>
        <v>Gayathri Iyer</v>
      </c>
      <c r="C14" s="9" t="str">
        <f aca="false">'Label pairs'!F14</f>
        <v>QA Automation Engineer</v>
      </c>
      <c r="D14" s="7" t="n">
        <v>50</v>
      </c>
      <c r="E14" s="7" t="s">
        <v>180</v>
      </c>
      <c r="F14" s="7" t="str">
        <f aca="false">IF(AND(D14&gt;=Results!$C$5,E14="Y"),"Y","N")</f>
        <v>N</v>
      </c>
      <c r="G14" s="7" t="n">
        <v>2</v>
      </c>
      <c r="H14" s="7" t="str">
        <f aca="false">IF(G14&gt;=Results!$C$6,"Y","N")</f>
        <v>Y</v>
      </c>
      <c r="I14" s="10" t="str">
        <f aca="false">'Label pairs'!M14</f>
        <v/>
      </c>
      <c r="J14" s="7" t="str">
        <f aca="false">IF(I14="","",IF(F14=I14,1,0))</f>
        <v/>
      </c>
      <c r="K14" s="7" t="str">
        <f aca="false">IF(I14="","",IF(H14=I14,1,0))</f>
        <v/>
      </c>
    </row>
    <row r="15" customFormat="false" ht="15" hidden="false" customHeight="false" outlineLevel="0" collapsed="false">
      <c r="A15" s="8" t="str">
        <f aca="false">'Label pairs'!A15</f>
        <v>P14</v>
      </c>
      <c r="B15" s="9" t="str">
        <f aca="false">'Label pairs'!B15</f>
        <v>Harsha Vardhan</v>
      </c>
      <c r="C15" s="9" t="str">
        <f aca="false">'Label pairs'!F15</f>
        <v>Java Developer Intern</v>
      </c>
      <c r="D15" s="7" t="n">
        <v>100</v>
      </c>
      <c r="E15" s="7" t="s">
        <v>180</v>
      </c>
      <c r="F15" s="7" t="str">
        <f aca="false">IF(AND(D15&gt;=Results!$C$5,E15="Y"),"Y","N")</f>
        <v>Y</v>
      </c>
      <c r="G15" s="7" t="n">
        <v>3</v>
      </c>
      <c r="H15" s="7" t="str">
        <f aca="false">IF(G15&gt;=Results!$C$6,"Y","N")</f>
        <v>Y</v>
      </c>
      <c r="I15" s="10" t="str">
        <f aca="false">'Label pairs'!M15</f>
        <v/>
      </c>
      <c r="J15" s="7" t="str">
        <f aca="false">IF(I15="","",IF(F15=I15,1,0))</f>
        <v/>
      </c>
      <c r="K15" s="7" t="str">
        <f aca="false">IF(I15="","",IF(H15=I15,1,0))</f>
        <v/>
      </c>
    </row>
    <row r="16" customFormat="false" ht="15" hidden="false" customHeight="false" outlineLevel="0" collapsed="false">
      <c r="A16" s="8" t="str">
        <f aca="false">'Label pairs'!A16</f>
        <v>P15</v>
      </c>
      <c r="B16" s="9" t="str">
        <f aca="false">'Label pairs'!B16</f>
        <v>Sameer Ali</v>
      </c>
      <c r="C16" s="9" t="str">
        <f aca="false">'Label pairs'!F16</f>
        <v>Cloud &amp; DevOps Engineer</v>
      </c>
      <c r="D16" s="7" t="n">
        <v>20</v>
      </c>
      <c r="E16" s="7" t="s">
        <v>180</v>
      </c>
      <c r="F16" s="7" t="str">
        <f aca="false">IF(AND(D16&gt;=Results!$C$5,E16="Y"),"Y","N")</f>
        <v>N</v>
      </c>
      <c r="G16" s="7" t="n">
        <v>1</v>
      </c>
      <c r="H16" s="7" t="str">
        <f aca="false">IF(G16&gt;=Results!$C$6,"Y","N")</f>
        <v>N</v>
      </c>
      <c r="I16" s="10" t="str">
        <f aca="false">'Label pairs'!M16</f>
        <v/>
      </c>
      <c r="J16" s="7" t="str">
        <f aca="false">IF(I16="","",IF(F16=I16,1,0))</f>
        <v/>
      </c>
      <c r="K16" s="7" t="str">
        <f aca="false">IF(I16="","",IF(H16=I16,1,0))</f>
        <v/>
      </c>
    </row>
    <row r="17" customFormat="false" ht="15" hidden="false" customHeight="false" outlineLevel="0" collapsed="false">
      <c r="A17" s="8" t="str">
        <f aca="false">'Label pairs'!A17</f>
        <v>P16</v>
      </c>
      <c r="B17" s="9" t="str">
        <f aca="false">'Label pairs'!B17</f>
        <v>Kavya Menon</v>
      </c>
      <c r="C17" s="9" t="str">
        <f aca="false">'Label pairs'!F17</f>
        <v>Backend Engineer - Payments</v>
      </c>
      <c r="D17" s="7" t="n">
        <v>25</v>
      </c>
      <c r="E17" s="7" t="s">
        <v>180</v>
      </c>
      <c r="F17" s="7" t="str">
        <f aca="false">IF(AND(D17&gt;=Results!$C$5,E17="Y"),"Y","N")</f>
        <v>N</v>
      </c>
      <c r="G17" s="7" t="n">
        <v>1</v>
      </c>
      <c r="H17" s="7" t="str">
        <f aca="false">IF(G17&gt;=Results!$C$6,"Y","N")</f>
        <v>N</v>
      </c>
      <c r="I17" s="10" t="str">
        <f aca="false">'Label pairs'!M17</f>
        <v/>
      </c>
      <c r="J17" s="7" t="str">
        <f aca="false">IF(I17="","",IF(F17=I17,1,0))</f>
        <v/>
      </c>
      <c r="K17" s="7" t="str">
        <f aca="false">IF(I17="","",IF(H17=I17,1,0))</f>
        <v/>
      </c>
    </row>
    <row r="18" customFormat="false" ht="15" hidden="false" customHeight="false" outlineLevel="0" collapsed="false">
      <c r="A18" s="8" t="str">
        <f aca="false">'Label pairs'!A18</f>
        <v>P17</v>
      </c>
      <c r="B18" s="9" t="str">
        <f aca="false">'Label pairs'!B18</f>
        <v>Harsha Vardhan</v>
      </c>
      <c r="C18" s="9" t="str">
        <f aca="false">'Label pairs'!F18</f>
        <v>Web Developer</v>
      </c>
      <c r="D18" s="7" t="n">
        <v>25</v>
      </c>
      <c r="E18" s="7" t="s">
        <v>180</v>
      </c>
      <c r="F18" s="7" t="str">
        <f aca="false">IF(AND(D18&gt;=Results!$C$5,E18="Y"),"Y","N")</f>
        <v>N</v>
      </c>
      <c r="G18" s="7" t="n">
        <v>1</v>
      </c>
      <c r="H18" s="7" t="str">
        <f aca="false">IF(G18&gt;=Results!$C$6,"Y","N")</f>
        <v>N</v>
      </c>
      <c r="I18" s="10" t="str">
        <f aca="false">'Label pairs'!M18</f>
        <v/>
      </c>
      <c r="J18" s="7" t="str">
        <f aca="false">IF(I18="","",IF(F18=I18,1,0))</f>
        <v/>
      </c>
      <c r="K18" s="7" t="str">
        <f aca="false">IF(I18="","",IF(H18=I18,1,0))</f>
        <v/>
      </c>
    </row>
    <row r="19" customFormat="false" ht="15" hidden="false" customHeight="false" outlineLevel="0" collapsed="false">
      <c r="A19" s="8" t="str">
        <f aca="false">'Label pairs'!A19</f>
        <v>P18</v>
      </c>
      <c r="B19" s="9" t="str">
        <f aca="false">'Label pairs'!B19</f>
        <v>Chirag Mehta</v>
      </c>
      <c r="C19" s="9" t="str">
        <f aca="false">'Label pairs'!F19</f>
        <v>Java Developer Intern</v>
      </c>
      <c r="D19" s="7" t="n">
        <v>67</v>
      </c>
      <c r="E19" s="7" t="s">
        <v>180</v>
      </c>
      <c r="F19" s="7" t="str">
        <f aca="false">IF(AND(D19&gt;=Results!$C$5,E19="Y"),"Y","N")</f>
        <v>N</v>
      </c>
      <c r="G19" s="7" t="n">
        <v>2</v>
      </c>
      <c r="H19" s="7" t="str">
        <f aca="false">IF(G19&gt;=Results!$C$6,"Y","N")</f>
        <v>Y</v>
      </c>
      <c r="I19" s="10" t="str">
        <f aca="false">'Label pairs'!M19</f>
        <v/>
      </c>
      <c r="J19" s="7" t="str">
        <f aca="false">IF(I19="","",IF(F19=I19,1,0))</f>
        <v/>
      </c>
      <c r="K19" s="7" t="str">
        <f aca="false">IF(I19="","",IF(H19=I19,1,0))</f>
        <v/>
      </c>
    </row>
    <row r="20" customFormat="false" ht="15" hidden="false" customHeight="false" outlineLevel="0" collapsed="false">
      <c r="A20" s="8" t="str">
        <f aca="false">'Label pairs'!A20</f>
        <v>P19</v>
      </c>
      <c r="B20" s="9" t="str">
        <f aca="false">'Label pairs'!B20</f>
        <v>Aditya Kulkarni</v>
      </c>
      <c r="C20" s="9" t="str">
        <f aca="false">'Label pairs'!F20</f>
        <v>Software Engineer Trainee</v>
      </c>
      <c r="D20" s="7" t="n">
        <v>75</v>
      </c>
      <c r="E20" s="7" t="s">
        <v>180</v>
      </c>
      <c r="F20" s="7" t="str">
        <f aca="false">IF(AND(D20&gt;=Results!$C$5,E20="Y"),"Y","N")</f>
        <v>Y</v>
      </c>
      <c r="G20" s="7" t="n">
        <v>3</v>
      </c>
      <c r="H20" s="7" t="str">
        <f aca="false">IF(G20&gt;=Results!$C$6,"Y","N")</f>
        <v>Y</v>
      </c>
      <c r="I20" s="10" t="str">
        <f aca="false">'Label pairs'!M20</f>
        <v/>
      </c>
      <c r="J20" s="7" t="str">
        <f aca="false">IF(I20="","",IF(F20=I20,1,0))</f>
        <v/>
      </c>
      <c r="K20" s="7" t="str">
        <f aca="false">IF(I20="","",IF(H20=I20,1,0))</f>
        <v/>
      </c>
    </row>
    <row r="21" customFormat="false" ht="15" hidden="false" customHeight="false" outlineLevel="0" collapsed="false">
      <c r="A21" s="8" t="str">
        <f aca="false">'Label pairs'!A21</f>
        <v>P20</v>
      </c>
      <c r="B21" s="9" t="str">
        <f aca="false">'Label pairs'!B21</f>
        <v>Isha Kapoor</v>
      </c>
      <c r="C21" s="9" t="str">
        <f aca="false">'Label pairs'!F21</f>
        <v>Web Developer</v>
      </c>
      <c r="D21" s="7" t="n">
        <v>100</v>
      </c>
      <c r="E21" s="7" t="s">
        <v>180</v>
      </c>
      <c r="F21" s="7" t="str">
        <f aca="false">IF(AND(D21&gt;=Results!$C$5,E21="Y"),"Y","N")</f>
        <v>Y</v>
      </c>
      <c r="G21" s="7" t="n">
        <v>4</v>
      </c>
      <c r="H21" s="7" t="str">
        <f aca="false">IF(G21&gt;=Results!$C$6,"Y","N")</f>
        <v>Y</v>
      </c>
      <c r="I21" s="10" t="str">
        <f aca="false">'Label pairs'!M21</f>
        <v/>
      </c>
      <c r="J21" s="7" t="str">
        <f aca="false">IF(I21="","",IF(F21=I21,1,0))</f>
        <v/>
      </c>
      <c r="K21" s="7" t="str">
        <f aca="false">IF(I21="","",IF(H21=I21,1,0))</f>
        <v/>
      </c>
    </row>
    <row r="22" customFormat="false" ht="15" hidden="false" customHeight="false" outlineLevel="0" collapsed="false">
      <c r="A22" s="8" t="str">
        <f aca="false">'Label pairs'!A22</f>
        <v>P21</v>
      </c>
      <c r="B22" s="9" t="str">
        <f aca="false">'Label pairs'!B22</f>
        <v>Rahul Joshi</v>
      </c>
      <c r="C22" s="9" t="str">
        <f aca="false">'Label pairs'!F22</f>
        <v>QA Automation Engineer</v>
      </c>
      <c r="D22" s="7" t="n">
        <v>50</v>
      </c>
      <c r="E22" s="7" t="s">
        <v>180</v>
      </c>
      <c r="F22" s="7" t="str">
        <f aca="false">IF(AND(D22&gt;=Results!$C$5,E22="Y"),"Y","N")</f>
        <v>N</v>
      </c>
      <c r="G22" s="7" t="n">
        <v>2</v>
      </c>
      <c r="H22" s="7" t="str">
        <f aca="false">IF(G22&gt;=Results!$C$6,"Y","N")</f>
        <v>Y</v>
      </c>
      <c r="I22" s="10" t="str">
        <f aca="false">'Label pairs'!M22</f>
        <v/>
      </c>
      <c r="J22" s="7" t="str">
        <f aca="false">IF(I22="","",IF(F22=I22,1,0))</f>
        <v/>
      </c>
      <c r="K22" s="7" t="str">
        <f aca="false">IF(I22="","",IF(H22=I22,1,0))</f>
        <v/>
      </c>
    </row>
    <row r="23" customFormat="false" ht="15" hidden="false" customHeight="false" outlineLevel="0" collapsed="false">
      <c r="A23" s="8" t="str">
        <f aca="false">'Label pairs'!A23</f>
        <v>P22</v>
      </c>
      <c r="B23" s="9" t="str">
        <f aca="false">'Label pairs'!B23</f>
        <v>Uma Krishnan</v>
      </c>
      <c r="C23" s="9" t="str">
        <f aca="false">'Label pairs'!F23</f>
        <v>Full Stack Developer</v>
      </c>
      <c r="D23" s="7" t="n">
        <v>20</v>
      </c>
      <c r="E23" s="7" t="s">
        <v>180</v>
      </c>
      <c r="F23" s="7" t="str">
        <f aca="false">IF(AND(D23&gt;=Results!$C$5,E23="Y"),"Y","N")</f>
        <v>N</v>
      </c>
      <c r="G23" s="7" t="n">
        <v>1</v>
      </c>
      <c r="H23" s="7" t="str">
        <f aca="false">IF(G23&gt;=Results!$C$6,"Y","N")</f>
        <v>N</v>
      </c>
      <c r="I23" s="10" t="str">
        <f aca="false">'Label pairs'!M23</f>
        <v/>
      </c>
      <c r="J23" s="7" t="str">
        <f aca="false">IF(I23="","",IF(F23=I23,1,0))</f>
        <v/>
      </c>
      <c r="K23" s="7" t="str">
        <f aca="false">IF(I23="","",IF(H23=I23,1,0))</f>
        <v/>
      </c>
    </row>
    <row r="24" customFormat="false" ht="15" hidden="false" customHeight="false" outlineLevel="0" collapsed="false">
      <c r="A24" s="8" t="str">
        <f aca="false">'Label pairs'!A24</f>
        <v>P23</v>
      </c>
      <c r="B24" s="9" t="str">
        <f aca="false">'Label pairs'!B24</f>
        <v>Pooja Shetty</v>
      </c>
      <c r="C24" s="9" t="str">
        <f aca="false">'Label pairs'!F24</f>
        <v>Frontend Developer</v>
      </c>
      <c r="D24" s="7" t="n">
        <v>80</v>
      </c>
      <c r="E24" s="7" t="s">
        <v>180</v>
      </c>
      <c r="F24" s="7" t="str">
        <f aca="false">IF(AND(D24&gt;=Results!$C$5,E24="Y"),"Y","N")</f>
        <v>Y</v>
      </c>
      <c r="G24" s="7" t="n">
        <v>4</v>
      </c>
      <c r="H24" s="7" t="str">
        <f aca="false">IF(G24&gt;=Results!$C$6,"Y","N")</f>
        <v>Y</v>
      </c>
      <c r="I24" s="10" t="str">
        <f aca="false">'Label pairs'!M24</f>
        <v/>
      </c>
      <c r="J24" s="7" t="str">
        <f aca="false">IF(I24="","",IF(F24=I24,1,0))</f>
        <v/>
      </c>
      <c r="K24" s="7" t="str">
        <f aca="false">IF(I24="","",IF(H24=I24,1,0))</f>
        <v/>
      </c>
    </row>
    <row r="25" customFormat="false" ht="15" hidden="false" customHeight="false" outlineLevel="0" collapsed="false">
      <c r="A25" s="8" t="str">
        <f aca="false">'Label pairs'!A25</f>
        <v>P24</v>
      </c>
      <c r="B25" s="9" t="str">
        <f aca="false">'Label pairs'!B25</f>
        <v>Tarun Agarwal</v>
      </c>
      <c r="C25" s="9" t="str">
        <f aca="false">'Label pairs'!F25</f>
        <v>Frontend Developer</v>
      </c>
      <c r="D25" s="7" t="n">
        <v>0</v>
      </c>
      <c r="E25" s="7" t="s">
        <v>180</v>
      </c>
      <c r="F25" s="7" t="str">
        <f aca="false">IF(AND(D25&gt;=Results!$C$5,E25="Y"),"Y","N")</f>
        <v>N</v>
      </c>
      <c r="G25" s="7" t="n">
        <v>0</v>
      </c>
      <c r="H25" s="7" t="str">
        <f aca="false">IF(G25&gt;=Results!$C$6,"Y","N")</f>
        <v>N</v>
      </c>
      <c r="I25" s="10" t="str">
        <f aca="false">'Label pairs'!M25</f>
        <v/>
      </c>
      <c r="J25" s="7" t="str">
        <f aca="false">IF(I25="","",IF(F25=I25,1,0))</f>
        <v/>
      </c>
      <c r="K25" s="7" t="str">
        <f aca="false">IF(I25="","",IF(H25=I25,1,0))</f>
        <v/>
      </c>
    </row>
    <row r="26" customFormat="false" ht="15" hidden="false" customHeight="false" outlineLevel="0" collapsed="false">
      <c r="A26" s="8" t="str">
        <f aca="false">'Label pairs'!A26</f>
        <v>P25</v>
      </c>
      <c r="B26" s="9" t="str">
        <f aca="false">'Label pairs'!B26</f>
        <v>Rohan Gupta</v>
      </c>
      <c r="C26" s="9" t="str">
        <f aca="false">'Label pairs'!F26</f>
        <v>Frontend Developer</v>
      </c>
      <c r="D26" s="7" t="n">
        <v>80</v>
      </c>
      <c r="E26" s="7" t="s">
        <v>180</v>
      </c>
      <c r="F26" s="7" t="str">
        <f aca="false">IF(AND(D26&gt;=Results!$C$5,E26="Y"),"Y","N")</f>
        <v>Y</v>
      </c>
      <c r="G26" s="7" t="n">
        <v>4</v>
      </c>
      <c r="H26" s="7" t="str">
        <f aca="false">IF(G26&gt;=Results!$C$6,"Y","N")</f>
        <v>Y</v>
      </c>
      <c r="I26" s="10" t="str">
        <f aca="false">'Label pairs'!M26</f>
        <v/>
      </c>
      <c r="J26" s="7" t="str">
        <f aca="false">IF(I26="","",IF(F26=I26,1,0))</f>
        <v/>
      </c>
      <c r="K26" s="7" t="str">
        <f aca="false">IF(I26="","",IF(H26=I26,1,0))</f>
        <v/>
      </c>
    </row>
    <row r="27" customFormat="false" ht="15" hidden="false" customHeight="false" outlineLevel="0" collapsed="false">
      <c r="A27" s="8" t="str">
        <f aca="false">'Label pairs'!A27</f>
        <v>P26</v>
      </c>
      <c r="B27" s="9" t="str">
        <f aca="false">'Label pairs'!B27</f>
        <v>Ananya Reddy</v>
      </c>
      <c r="C27" s="9" t="str">
        <f aca="false">'Label pairs'!F27</f>
        <v>QA Automation Engineer</v>
      </c>
      <c r="D27" s="7" t="n">
        <v>75</v>
      </c>
      <c r="E27" s="7" t="s">
        <v>180</v>
      </c>
      <c r="F27" s="7" t="str">
        <f aca="false">IF(AND(D27&gt;=Results!$C$5,E27="Y"),"Y","N")</f>
        <v>Y</v>
      </c>
      <c r="G27" s="7" t="n">
        <v>3</v>
      </c>
      <c r="H27" s="7" t="str">
        <f aca="false">IF(G27&gt;=Results!$C$6,"Y","N")</f>
        <v>Y</v>
      </c>
      <c r="I27" s="10" t="str">
        <f aca="false">'Label pairs'!M27</f>
        <v/>
      </c>
      <c r="J27" s="7" t="str">
        <f aca="false">IF(I27="","",IF(F27=I27,1,0))</f>
        <v/>
      </c>
      <c r="K27" s="7" t="str">
        <f aca="false">IF(I27="","",IF(H27=I27,1,0))</f>
        <v/>
      </c>
    </row>
    <row r="28" customFormat="false" ht="15" hidden="false" customHeight="false" outlineLevel="0" collapsed="false">
      <c r="A28" s="8" t="str">
        <f aca="false">'Label pairs'!A28</f>
        <v>P27</v>
      </c>
      <c r="B28" s="9" t="str">
        <f aca="false">'Label pairs'!B28</f>
        <v>Meera Pillai</v>
      </c>
      <c r="C28" s="9" t="str">
        <f aca="false">'Label pairs'!F28</f>
        <v>QA Automation Engineer</v>
      </c>
      <c r="D28" s="7" t="n">
        <v>75</v>
      </c>
      <c r="E28" s="7" t="s">
        <v>180</v>
      </c>
      <c r="F28" s="7" t="str">
        <f aca="false">IF(AND(D28&gt;=Results!$C$5,E28="Y"),"Y","N")</f>
        <v>Y</v>
      </c>
      <c r="G28" s="7" t="n">
        <v>3</v>
      </c>
      <c r="H28" s="7" t="str">
        <f aca="false">IF(G28&gt;=Results!$C$6,"Y","N")</f>
        <v>Y</v>
      </c>
      <c r="I28" s="10" t="str">
        <f aca="false">'Label pairs'!M28</f>
        <v/>
      </c>
      <c r="J28" s="7" t="str">
        <f aca="false">IF(I28="","",IF(F28=I28,1,0))</f>
        <v/>
      </c>
      <c r="K28" s="7" t="str">
        <f aca="false">IF(I28="","",IF(H28=I28,1,0))</f>
        <v/>
      </c>
    </row>
    <row r="29" customFormat="false" ht="15" hidden="false" customHeight="false" outlineLevel="0" collapsed="false">
      <c r="A29" s="8" t="str">
        <f aca="false">'Label pairs'!A29</f>
        <v>P28</v>
      </c>
      <c r="B29" s="9" t="str">
        <f aca="false">'Label pairs'!B29</f>
        <v>Varun Pillai</v>
      </c>
      <c r="C29" s="9" t="str">
        <f aca="false">'Label pairs'!F29</f>
        <v>Web Developer</v>
      </c>
      <c r="D29" s="7" t="n">
        <v>25</v>
      </c>
      <c r="E29" s="7" t="s">
        <v>180</v>
      </c>
      <c r="F29" s="7" t="str">
        <f aca="false">IF(AND(D29&gt;=Results!$C$5,E29="Y"),"Y","N")</f>
        <v>N</v>
      </c>
      <c r="G29" s="7" t="n">
        <v>1</v>
      </c>
      <c r="H29" s="7" t="str">
        <f aca="false">IF(G29&gt;=Results!$C$6,"Y","N")</f>
        <v>N</v>
      </c>
      <c r="I29" s="10" t="str">
        <f aca="false">'Label pairs'!M29</f>
        <v/>
      </c>
      <c r="J29" s="7" t="str">
        <f aca="false">IF(I29="","",IF(F29=I29,1,0))</f>
        <v/>
      </c>
      <c r="K29" s="7" t="str">
        <f aca="false">IF(I29="","",IF(H29=I29,1,0))</f>
        <v/>
      </c>
    </row>
    <row r="30" customFormat="false" ht="15" hidden="false" customHeight="false" outlineLevel="0" collapsed="false">
      <c r="A30" s="8" t="str">
        <f aca="false">'Label pairs'!A30</f>
        <v>P29</v>
      </c>
      <c r="B30" s="9" t="str">
        <f aca="false">'Label pairs'!B30</f>
        <v>Sameer Ali</v>
      </c>
      <c r="C30" s="9" t="str">
        <f aca="false">'Label pairs'!F30</f>
        <v>Machine Learning Intern</v>
      </c>
      <c r="D30" s="7" t="n">
        <v>0</v>
      </c>
      <c r="E30" s="7" t="s">
        <v>181</v>
      </c>
      <c r="F30" s="7" t="str">
        <f aca="false">IF(AND(D30&gt;=Results!$C$5,E30="Y"),"Y","N")</f>
        <v>N</v>
      </c>
      <c r="G30" s="7" t="n">
        <v>0</v>
      </c>
      <c r="H30" s="7" t="str">
        <f aca="false">IF(G30&gt;=Results!$C$6,"Y","N")</f>
        <v>N</v>
      </c>
      <c r="I30" s="10" t="str">
        <f aca="false">'Label pairs'!M30</f>
        <v/>
      </c>
      <c r="J30" s="7" t="str">
        <f aca="false">IF(I30="","",IF(F30=I30,1,0))</f>
        <v/>
      </c>
      <c r="K30" s="7" t="str">
        <f aca="false">IF(I30="","",IF(H30=I30,1,0))</f>
        <v/>
      </c>
    </row>
    <row r="31" customFormat="false" ht="15" hidden="false" customHeight="false" outlineLevel="0" collapsed="false">
      <c r="A31" s="8" t="str">
        <f aca="false">'Label pairs'!A31</f>
        <v>P30</v>
      </c>
      <c r="B31" s="9" t="str">
        <f aca="false">'Label pairs'!B31</f>
        <v>Akash Verma</v>
      </c>
      <c r="C31" s="9" t="str">
        <f aca="false">'Label pairs'!F31</f>
        <v>Backend Engineer - Payments</v>
      </c>
      <c r="D31" s="7" t="n">
        <v>50</v>
      </c>
      <c r="E31" s="7" t="s">
        <v>181</v>
      </c>
      <c r="F31" s="7" t="str">
        <f aca="false">IF(AND(D31&gt;=Results!$C$5,E31="Y"),"Y","N")</f>
        <v>N</v>
      </c>
      <c r="G31" s="7" t="n">
        <v>2</v>
      </c>
      <c r="H31" s="7" t="str">
        <f aca="false">IF(G31&gt;=Results!$C$6,"Y","N")</f>
        <v>Y</v>
      </c>
      <c r="I31" s="10" t="str">
        <f aca="false">'Label pairs'!M31</f>
        <v/>
      </c>
      <c r="J31" s="7" t="str">
        <f aca="false">IF(I31="","",IF(F31=I31,1,0))</f>
        <v/>
      </c>
      <c r="K31" s="7" t="str">
        <f aca="false">IF(I31="","",IF(H31=I31,1,0))</f>
        <v/>
      </c>
    </row>
    <row r="32" customFormat="false" ht="15" hidden="false" customHeight="false" outlineLevel="0" collapsed="false">
      <c r="A32" s="8" t="str">
        <f aca="false">'Label pairs'!A32</f>
        <v>P31</v>
      </c>
      <c r="B32" s="9" t="str">
        <f aca="false">'Label pairs'!B32</f>
        <v>Chirag Mehta</v>
      </c>
      <c r="C32" s="9" t="str">
        <f aca="false">'Label pairs'!F32</f>
        <v>Software Engineer Trainee</v>
      </c>
      <c r="D32" s="7" t="n">
        <v>75</v>
      </c>
      <c r="E32" s="7" t="s">
        <v>180</v>
      </c>
      <c r="F32" s="7" t="str">
        <f aca="false">IF(AND(D32&gt;=Results!$C$5,E32="Y"),"Y","N")</f>
        <v>Y</v>
      </c>
      <c r="G32" s="7" t="n">
        <v>3</v>
      </c>
      <c r="H32" s="7" t="str">
        <f aca="false">IF(G32&gt;=Results!$C$6,"Y","N")</f>
        <v>Y</v>
      </c>
      <c r="I32" s="10" t="str">
        <f aca="false">'Label pairs'!M32</f>
        <v/>
      </c>
      <c r="J32" s="7" t="str">
        <f aca="false">IF(I32="","",IF(F32=I32,1,0))</f>
        <v/>
      </c>
      <c r="K32" s="7" t="str">
        <f aca="false">IF(I32="","",IF(H32=I32,1,0))</f>
        <v/>
      </c>
    </row>
    <row r="33" customFormat="false" ht="15" hidden="false" customHeight="false" outlineLevel="0" collapsed="false">
      <c r="A33" s="8" t="str">
        <f aca="false">'Label pairs'!A33</f>
        <v>P32</v>
      </c>
      <c r="B33" s="9" t="str">
        <f aca="false">'Label pairs'!B33</f>
        <v>Ananya Reddy</v>
      </c>
      <c r="C33" s="9" t="str">
        <f aca="false">'Label pairs'!F33</f>
        <v>Full Stack Developer</v>
      </c>
      <c r="D33" s="7" t="n">
        <v>60</v>
      </c>
      <c r="E33" s="7" t="s">
        <v>180</v>
      </c>
      <c r="F33" s="7" t="str">
        <f aca="false">IF(AND(D33&gt;=Results!$C$5,E33="Y"),"Y","N")</f>
        <v>N</v>
      </c>
      <c r="G33" s="7" t="n">
        <v>3</v>
      </c>
      <c r="H33" s="7" t="str">
        <f aca="false">IF(G33&gt;=Results!$C$6,"Y","N")</f>
        <v>Y</v>
      </c>
      <c r="I33" s="10" t="str">
        <f aca="false">'Label pairs'!M33</f>
        <v/>
      </c>
      <c r="J33" s="7" t="str">
        <f aca="false">IF(I33="","",IF(F33=I33,1,0))</f>
        <v/>
      </c>
      <c r="K33" s="7" t="str">
        <f aca="false">IF(I33="","",IF(H33=I33,1,0))</f>
        <v/>
      </c>
    </row>
    <row r="34" customFormat="false" ht="15" hidden="false" customHeight="false" outlineLevel="0" collapsed="false">
      <c r="A34" s="8" t="str">
        <f aca="false">'Label pairs'!A34</f>
        <v>P33</v>
      </c>
      <c r="B34" s="9" t="str">
        <f aca="false">'Label pairs'!B34</f>
        <v>Farhan Sheikh</v>
      </c>
      <c r="C34" s="9" t="str">
        <f aca="false">'Label pairs'!F34</f>
        <v>Web Developer</v>
      </c>
      <c r="D34" s="7" t="n">
        <v>75</v>
      </c>
      <c r="E34" s="7" t="s">
        <v>180</v>
      </c>
      <c r="F34" s="7" t="str">
        <f aca="false">IF(AND(D34&gt;=Results!$C$5,E34="Y"),"Y","N")</f>
        <v>Y</v>
      </c>
      <c r="G34" s="7" t="n">
        <v>3</v>
      </c>
      <c r="H34" s="7" t="str">
        <f aca="false">IF(G34&gt;=Results!$C$6,"Y","N")</f>
        <v>Y</v>
      </c>
      <c r="I34" s="10" t="str">
        <f aca="false">'Label pairs'!M34</f>
        <v/>
      </c>
      <c r="J34" s="7" t="str">
        <f aca="false">IF(I34="","",IF(F34=I34,1,0))</f>
        <v/>
      </c>
      <c r="K34" s="7" t="str">
        <f aca="false">IF(I34="","",IF(H34=I34,1,0))</f>
        <v/>
      </c>
    </row>
    <row r="35" customFormat="false" ht="15" hidden="false" customHeight="false" outlineLevel="0" collapsed="false">
      <c r="A35" s="8" t="str">
        <f aca="false">'Label pairs'!A35</f>
        <v>P34</v>
      </c>
      <c r="B35" s="9" t="str">
        <f aca="false">'Label pairs'!B35</f>
        <v>Farhan Sheikh</v>
      </c>
      <c r="C35" s="9" t="str">
        <f aca="false">'Label pairs'!F35</f>
        <v>Machine Learning Intern</v>
      </c>
      <c r="D35" s="7" t="n">
        <v>0</v>
      </c>
      <c r="E35" s="7" t="s">
        <v>181</v>
      </c>
      <c r="F35" s="7" t="str">
        <f aca="false">IF(AND(D35&gt;=Results!$C$5,E35="Y"),"Y","N")</f>
        <v>N</v>
      </c>
      <c r="G35" s="7" t="n">
        <v>0</v>
      </c>
      <c r="H35" s="7" t="str">
        <f aca="false">IF(G35&gt;=Results!$C$6,"Y","N")</f>
        <v>N</v>
      </c>
      <c r="I35" s="10" t="str">
        <f aca="false">'Label pairs'!M35</f>
        <v/>
      </c>
      <c r="J35" s="7" t="str">
        <f aca="false">IF(I35="","",IF(F35=I35,1,0))</f>
        <v/>
      </c>
      <c r="K35" s="7" t="str">
        <f aca="false">IF(I35="","",IF(H35=I35,1,0))</f>
        <v/>
      </c>
    </row>
    <row r="36" customFormat="false" ht="15" hidden="false" customHeight="false" outlineLevel="0" collapsed="false">
      <c r="A36" s="8" t="str">
        <f aca="false">'Label pairs'!A36</f>
        <v>P35</v>
      </c>
      <c r="B36" s="9" t="str">
        <f aca="false">'Label pairs'!B36</f>
        <v>Harsha Vardhan</v>
      </c>
      <c r="C36" s="9" t="str">
        <f aca="false">'Label pairs'!F36</f>
        <v>Software Engineer Trainee</v>
      </c>
      <c r="D36" s="7" t="n">
        <v>50</v>
      </c>
      <c r="E36" s="7" t="s">
        <v>180</v>
      </c>
      <c r="F36" s="7" t="str">
        <f aca="false">IF(AND(D36&gt;=Results!$C$5,E36="Y"),"Y","N")</f>
        <v>N</v>
      </c>
      <c r="G36" s="7" t="n">
        <v>2</v>
      </c>
      <c r="H36" s="7" t="str">
        <f aca="false">IF(G36&gt;=Results!$C$6,"Y","N")</f>
        <v>Y</v>
      </c>
      <c r="I36" s="10" t="str">
        <f aca="false">'Label pairs'!M36</f>
        <v/>
      </c>
      <c r="J36" s="7" t="str">
        <f aca="false">IF(I36="","",IF(F36=I36,1,0))</f>
        <v/>
      </c>
      <c r="K36" s="7" t="str">
        <f aca="false">IF(I36="","",IF(H36=I36,1,0))</f>
        <v/>
      </c>
    </row>
    <row r="37" customFormat="false" ht="15" hidden="false" customHeight="false" outlineLevel="0" collapsed="false">
      <c r="A37" s="8" t="str">
        <f aca="false">'Label pairs'!A37</f>
        <v>P36</v>
      </c>
      <c r="B37" s="9" t="str">
        <f aca="false">'Label pairs'!B37</f>
        <v>Uma Krishnan</v>
      </c>
      <c r="C37" s="9" t="str">
        <f aca="false">'Label pairs'!F37</f>
        <v>Frontend Developer</v>
      </c>
      <c r="D37" s="7" t="n">
        <v>0</v>
      </c>
      <c r="E37" s="7" t="s">
        <v>180</v>
      </c>
      <c r="F37" s="7" t="str">
        <f aca="false">IF(AND(D37&gt;=Results!$C$5,E37="Y"),"Y","N")</f>
        <v>N</v>
      </c>
      <c r="G37" s="7" t="n">
        <v>0</v>
      </c>
      <c r="H37" s="7" t="str">
        <f aca="false">IF(G37&gt;=Results!$C$6,"Y","N")</f>
        <v>N</v>
      </c>
      <c r="I37" s="10" t="str">
        <f aca="false">'Label pairs'!M37</f>
        <v/>
      </c>
      <c r="J37" s="7" t="str">
        <f aca="false">IF(I37="","",IF(F37=I37,1,0))</f>
        <v/>
      </c>
      <c r="K37" s="7" t="str">
        <f aca="false">IF(I37="","",IF(H37=I37,1,0))</f>
        <v/>
      </c>
    </row>
    <row r="38" customFormat="false" ht="15" hidden="false" customHeight="false" outlineLevel="0" collapsed="false">
      <c r="A38" s="8" t="str">
        <f aca="false">'Label pairs'!A38</f>
        <v>P37</v>
      </c>
      <c r="B38" s="9" t="str">
        <f aca="false">'Label pairs'!B38</f>
        <v>Manasa Gowda</v>
      </c>
      <c r="C38" s="9" t="str">
        <f aca="false">'Label pairs'!F38</f>
        <v>Software Engineer Trainee</v>
      </c>
      <c r="D38" s="7" t="n">
        <v>50</v>
      </c>
      <c r="E38" s="7" t="s">
        <v>180</v>
      </c>
      <c r="F38" s="7" t="str">
        <f aca="false">IF(AND(D38&gt;=Results!$C$5,E38="Y"),"Y","N")</f>
        <v>N</v>
      </c>
      <c r="G38" s="7" t="n">
        <v>2</v>
      </c>
      <c r="H38" s="7" t="str">
        <f aca="false">IF(G38&gt;=Results!$C$6,"Y","N")</f>
        <v>Y</v>
      </c>
      <c r="I38" s="10" t="str">
        <f aca="false">'Label pairs'!M38</f>
        <v/>
      </c>
      <c r="J38" s="7" t="str">
        <f aca="false">IF(I38="","",IF(F38=I38,1,0))</f>
        <v/>
      </c>
      <c r="K38" s="7" t="str">
        <f aca="false">IF(I38="","",IF(H38=I38,1,0))</f>
        <v/>
      </c>
    </row>
    <row r="39" customFormat="false" ht="15" hidden="false" customHeight="false" outlineLevel="0" collapsed="false">
      <c r="A39" s="8" t="str">
        <f aca="false">'Label pairs'!A39</f>
        <v>P38</v>
      </c>
      <c r="B39" s="9" t="str">
        <f aca="false">'Label pairs'!B39</f>
        <v>Nandini Hegde</v>
      </c>
      <c r="C39" s="9" t="str">
        <f aca="false">'Label pairs'!F39</f>
        <v>Backend Engineer - Payments</v>
      </c>
      <c r="D39" s="7" t="n">
        <v>75</v>
      </c>
      <c r="E39" s="7" t="s">
        <v>180</v>
      </c>
      <c r="F39" s="7" t="str">
        <f aca="false">IF(AND(D39&gt;=Results!$C$5,E39="Y"),"Y","N")</f>
        <v>Y</v>
      </c>
      <c r="G39" s="7" t="n">
        <v>3</v>
      </c>
      <c r="H39" s="7" t="str">
        <f aca="false">IF(G39&gt;=Results!$C$6,"Y","N")</f>
        <v>Y</v>
      </c>
      <c r="I39" s="10" t="str">
        <f aca="false">'Label pairs'!M39</f>
        <v/>
      </c>
      <c r="J39" s="7" t="str">
        <f aca="false">IF(I39="","",IF(F39=I39,1,0))</f>
        <v/>
      </c>
      <c r="K39" s="7" t="str">
        <f aca="false">IF(I39="","",IF(H39=I39,1,0))</f>
        <v/>
      </c>
    </row>
    <row r="40" customFormat="false" ht="15" hidden="false" customHeight="false" outlineLevel="0" collapsed="false">
      <c r="A40" s="8" t="str">
        <f aca="false">'Label pairs'!A40</f>
        <v>P39</v>
      </c>
      <c r="B40" s="9" t="str">
        <f aca="false">'Label pairs'!B40</f>
        <v>Isha Kapoor</v>
      </c>
      <c r="C40" s="9" t="str">
        <f aca="false">'Label pairs'!F40</f>
        <v>Frontend Developer</v>
      </c>
      <c r="D40" s="7" t="n">
        <v>60</v>
      </c>
      <c r="E40" s="7" t="s">
        <v>180</v>
      </c>
      <c r="F40" s="7" t="str">
        <f aca="false">IF(AND(D40&gt;=Results!$C$5,E40="Y"),"Y","N")</f>
        <v>N</v>
      </c>
      <c r="G40" s="7" t="n">
        <v>3</v>
      </c>
      <c r="H40" s="7" t="str">
        <f aca="false">IF(G40&gt;=Results!$C$6,"Y","N")</f>
        <v>Y</v>
      </c>
      <c r="I40" s="10" t="str">
        <f aca="false">'Label pairs'!M40</f>
        <v/>
      </c>
      <c r="J40" s="7" t="str">
        <f aca="false">IF(I40="","",IF(F40=I40,1,0))</f>
        <v/>
      </c>
      <c r="K40" s="7" t="str">
        <f aca="false">IF(I40="","",IF(H40=I40,1,0))</f>
        <v/>
      </c>
    </row>
    <row r="41" customFormat="false" ht="15" hidden="false" customHeight="false" outlineLevel="0" collapsed="false">
      <c r="A41" s="8" t="str">
        <f aca="false">'Label pairs'!A41</f>
        <v>P40</v>
      </c>
      <c r="B41" s="9" t="str">
        <f aca="false">'Label pairs'!B41</f>
        <v>Ishita Das</v>
      </c>
      <c r="C41" s="9" t="str">
        <f aca="false">'Label pairs'!F41</f>
        <v>Java Developer Intern</v>
      </c>
      <c r="D41" s="7" t="n">
        <v>0</v>
      </c>
      <c r="E41" s="7" t="s">
        <v>180</v>
      </c>
      <c r="F41" s="7" t="str">
        <f aca="false">IF(AND(D41&gt;=Results!$C$5,E41="Y"),"Y","N")</f>
        <v>N</v>
      </c>
      <c r="G41" s="7" t="n">
        <v>0</v>
      </c>
      <c r="H41" s="7" t="str">
        <f aca="false">IF(G41&gt;=Results!$C$6,"Y","N")</f>
        <v>N</v>
      </c>
      <c r="I41" s="10" t="str">
        <f aca="false">'Label pairs'!M41</f>
        <v/>
      </c>
      <c r="J41" s="7" t="str">
        <f aca="false">IF(I41="","",IF(F41=I41,1,0))</f>
        <v/>
      </c>
      <c r="K41" s="7" t="str">
        <f aca="false">IF(I41="","",IF(H41=I41,1,0))</f>
        <v/>
      </c>
    </row>
    <row r="42" customFormat="false" ht="15" hidden="false" customHeight="false" outlineLevel="0" collapsed="false">
      <c r="A42" s="8" t="str">
        <f aca="false">'Label pairs'!A42</f>
        <v>P41</v>
      </c>
      <c r="B42" s="9" t="str">
        <f aca="false">'Label pairs'!B42</f>
        <v>Ananya Reddy</v>
      </c>
      <c r="C42" s="9" t="str">
        <f aca="false">'Label pairs'!F42</f>
        <v>Software Engineer Trainee</v>
      </c>
      <c r="D42" s="7" t="n">
        <v>75</v>
      </c>
      <c r="E42" s="7" t="s">
        <v>180</v>
      </c>
      <c r="F42" s="7" t="str">
        <f aca="false">IF(AND(D42&gt;=Results!$C$5,E42="Y"),"Y","N")</f>
        <v>Y</v>
      </c>
      <c r="G42" s="7" t="n">
        <v>3</v>
      </c>
      <c r="H42" s="7" t="str">
        <f aca="false">IF(G42&gt;=Results!$C$6,"Y","N")</f>
        <v>Y</v>
      </c>
      <c r="I42" s="10" t="str">
        <f aca="false">'Label pairs'!M42</f>
        <v/>
      </c>
      <c r="J42" s="7" t="str">
        <f aca="false">IF(I42="","",IF(F42=I42,1,0))</f>
        <v/>
      </c>
      <c r="K42" s="7" t="str">
        <f aca="false">IF(I42="","",IF(H42=I42,1,0))</f>
        <v/>
      </c>
    </row>
    <row r="43" customFormat="false" ht="15" hidden="false" customHeight="false" outlineLevel="0" collapsed="false">
      <c r="A43" s="8" t="str">
        <f aca="false">'Label pairs'!A43</f>
        <v>P42</v>
      </c>
      <c r="B43" s="9" t="str">
        <f aca="false">'Label pairs'!B43</f>
        <v>Aarav Sharma</v>
      </c>
      <c r="C43" s="9" t="str">
        <f aca="false">'Label pairs'!F43</f>
        <v>Web Developer</v>
      </c>
      <c r="D43" s="7" t="n">
        <v>100</v>
      </c>
      <c r="E43" s="7" t="s">
        <v>180</v>
      </c>
      <c r="F43" s="7" t="str">
        <f aca="false">IF(AND(D43&gt;=Results!$C$5,E43="Y"),"Y","N")</f>
        <v>Y</v>
      </c>
      <c r="G43" s="7" t="n">
        <v>4</v>
      </c>
      <c r="H43" s="7" t="str">
        <f aca="false">IF(G43&gt;=Results!$C$6,"Y","N")</f>
        <v>Y</v>
      </c>
      <c r="I43" s="10" t="str">
        <f aca="false">'Label pairs'!M43</f>
        <v/>
      </c>
      <c r="J43" s="7" t="str">
        <f aca="false">IF(I43="","",IF(F43=I43,1,0))</f>
        <v/>
      </c>
      <c r="K43" s="7" t="str">
        <f aca="false">IF(I43="","",IF(H43=I43,1,0))</f>
        <v/>
      </c>
    </row>
    <row r="44" customFormat="false" ht="15" hidden="false" customHeight="false" outlineLevel="0" collapsed="false">
      <c r="A44" s="8" t="str">
        <f aca="false">'Label pairs'!A44</f>
        <v>P43</v>
      </c>
      <c r="B44" s="9" t="str">
        <f aca="false">'Label pairs'!B44</f>
        <v>Meera Pillai</v>
      </c>
      <c r="C44" s="9" t="str">
        <f aca="false">'Label pairs'!F44</f>
        <v>Frontend Developer</v>
      </c>
      <c r="D44" s="7" t="n">
        <v>0</v>
      </c>
      <c r="E44" s="7" t="s">
        <v>180</v>
      </c>
      <c r="F44" s="7" t="str">
        <f aca="false">IF(AND(D44&gt;=Results!$C$5,E44="Y"),"Y","N")</f>
        <v>N</v>
      </c>
      <c r="G44" s="7" t="n">
        <v>0</v>
      </c>
      <c r="H44" s="7" t="str">
        <f aca="false">IF(G44&gt;=Results!$C$6,"Y","N")</f>
        <v>N</v>
      </c>
      <c r="I44" s="10" t="str">
        <f aca="false">'Label pairs'!M44</f>
        <v/>
      </c>
      <c r="J44" s="7" t="str">
        <f aca="false">IF(I44="","",IF(F44=I44,1,0))</f>
        <v/>
      </c>
      <c r="K44" s="7" t="str">
        <f aca="false">IF(I44="","",IF(H44=I44,1,0))</f>
        <v/>
      </c>
    </row>
    <row r="45" customFormat="false" ht="15" hidden="false" customHeight="false" outlineLevel="0" collapsed="false">
      <c r="A45" s="8" t="str">
        <f aca="false">'Label pairs'!A45</f>
        <v>P44</v>
      </c>
      <c r="B45" s="9" t="str">
        <f aca="false">'Label pairs'!B45</f>
        <v>Akash Verma</v>
      </c>
      <c r="C45" s="9" t="str">
        <f aca="false">'Label pairs'!F45</f>
        <v>Java Backend Developer</v>
      </c>
      <c r="D45" s="7" t="n">
        <v>40</v>
      </c>
      <c r="E45" s="7" t="s">
        <v>180</v>
      </c>
      <c r="F45" s="7" t="str">
        <f aca="false">IF(AND(D45&gt;=Results!$C$5,E45="Y"),"Y","N")</f>
        <v>N</v>
      </c>
      <c r="G45" s="7" t="n">
        <v>2</v>
      </c>
      <c r="H45" s="7" t="str">
        <f aca="false">IF(G45&gt;=Results!$C$6,"Y","N")</f>
        <v>Y</v>
      </c>
      <c r="I45" s="10" t="str">
        <f aca="false">'Label pairs'!M45</f>
        <v/>
      </c>
      <c r="J45" s="7" t="str">
        <f aca="false">IF(I45="","",IF(F45=I45,1,0))</f>
        <v/>
      </c>
      <c r="K45" s="7" t="str">
        <f aca="false">IF(I45="","",IF(H45=I45,1,0))</f>
        <v/>
      </c>
    </row>
    <row r="46" customFormat="false" ht="15" hidden="false" customHeight="false" outlineLevel="0" collapsed="false">
      <c r="A46" s="8" t="str">
        <f aca="false">'Label pairs'!A46</f>
        <v>P45</v>
      </c>
      <c r="B46" s="9" t="str">
        <f aca="false">'Label pairs'!B46</f>
        <v>Rohan Gupta</v>
      </c>
      <c r="C46" s="9" t="str">
        <f aca="false">'Label pairs'!F46</f>
        <v>Full Stack Developer</v>
      </c>
      <c r="D46" s="7" t="n">
        <v>40</v>
      </c>
      <c r="E46" s="7" t="s">
        <v>180</v>
      </c>
      <c r="F46" s="7" t="str">
        <f aca="false">IF(AND(D46&gt;=Results!$C$5,E46="Y"),"Y","N")</f>
        <v>N</v>
      </c>
      <c r="G46" s="7" t="n">
        <v>2</v>
      </c>
      <c r="H46" s="7" t="str">
        <f aca="false">IF(G46&gt;=Results!$C$6,"Y","N")</f>
        <v>Y</v>
      </c>
      <c r="I46" s="10" t="str">
        <f aca="false">'Label pairs'!M46</f>
        <v/>
      </c>
      <c r="J46" s="7" t="str">
        <f aca="false">IF(I46="","",IF(F46=I46,1,0))</f>
        <v/>
      </c>
      <c r="K46" s="7" t="str">
        <f aca="false">IF(I46="","",IF(H46=I46,1,0))</f>
        <v/>
      </c>
    </row>
    <row r="47" customFormat="false" ht="15" hidden="false" customHeight="false" outlineLevel="0" collapsed="false">
      <c r="A47" s="8" t="str">
        <f aca="false">'Label pairs'!A47</f>
        <v>P46</v>
      </c>
      <c r="B47" s="9" t="str">
        <f aca="false">'Label pairs'!B47</f>
        <v>Vikram Singh</v>
      </c>
      <c r="C47" s="9" t="str">
        <f aca="false">'Label pairs'!F47</f>
        <v>Frontend Developer</v>
      </c>
      <c r="D47" s="7" t="n">
        <v>60</v>
      </c>
      <c r="E47" s="7" t="s">
        <v>180</v>
      </c>
      <c r="F47" s="7" t="str">
        <f aca="false">IF(AND(D47&gt;=Results!$C$5,E47="Y"),"Y","N")</f>
        <v>N</v>
      </c>
      <c r="G47" s="7" t="n">
        <v>3</v>
      </c>
      <c r="H47" s="7" t="str">
        <f aca="false">IF(G47&gt;=Results!$C$6,"Y","N")</f>
        <v>Y</v>
      </c>
      <c r="I47" s="10" t="str">
        <f aca="false">'Label pairs'!M47</f>
        <v/>
      </c>
      <c r="J47" s="7" t="str">
        <f aca="false">IF(I47="","",IF(F47=I47,1,0))</f>
        <v/>
      </c>
      <c r="K47" s="7" t="str">
        <f aca="false">IF(I47="","",IF(H47=I47,1,0))</f>
        <v/>
      </c>
    </row>
    <row r="48" customFormat="false" ht="15" hidden="false" customHeight="false" outlineLevel="0" collapsed="false">
      <c r="A48" s="8" t="str">
        <f aca="false">'Label pairs'!A48</f>
        <v>P47</v>
      </c>
      <c r="B48" s="9" t="str">
        <f aca="false">'Label pairs'!B48</f>
        <v>Pooja Shetty</v>
      </c>
      <c r="C48" s="9" t="str">
        <f aca="false">'Label pairs'!F48</f>
        <v>Web Developer</v>
      </c>
      <c r="D48" s="7" t="n">
        <v>75</v>
      </c>
      <c r="E48" s="7" t="s">
        <v>180</v>
      </c>
      <c r="F48" s="7" t="str">
        <f aca="false">IF(AND(D48&gt;=Results!$C$5,E48="Y"),"Y","N")</f>
        <v>Y</v>
      </c>
      <c r="G48" s="7" t="n">
        <v>3</v>
      </c>
      <c r="H48" s="7" t="str">
        <f aca="false">IF(G48&gt;=Results!$C$6,"Y","N")</f>
        <v>Y</v>
      </c>
      <c r="I48" s="10" t="str">
        <f aca="false">'Label pairs'!M48</f>
        <v/>
      </c>
      <c r="J48" s="7" t="str">
        <f aca="false">IF(I48="","",IF(F48=I48,1,0))</f>
        <v/>
      </c>
      <c r="K48" s="7" t="str">
        <f aca="false">IF(I48="","",IF(H48=I48,1,0))</f>
        <v/>
      </c>
    </row>
    <row r="49" customFormat="false" ht="15" hidden="false" customHeight="false" outlineLevel="0" collapsed="false">
      <c r="A49" s="8" t="str">
        <f aca="false">'Label pairs'!A49</f>
        <v>P48</v>
      </c>
      <c r="B49" s="9" t="str">
        <f aca="false">'Label pairs'!B49</f>
        <v>Aarav Sharma</v>
      </c>
      <c r="C49" s="9" t="str">
        <f aca="false">'Label pairs'!F49</f>
        <v>Cloud &amp; DevOps Engineer</v>
      </c>
      <c r="D49" s="7" t="n">
        <v>20</v>
      </c>
      <c r="E49" s="7" t="s">
        <v>180</v>
      </c>
      <c r="F49" s="7" t="str">
        <f aca="false">IF(AND(D49&gt;=Results!$C$5,E49="Y"),"Y","N")</f>
        <v>N</v>
      </c>
      <c r="G49" s="7" t="n">
        <v>1</v>
      </c>
      <c r="H49" s="7" t="str">
        <f aca="false">IF(G49&gt;=Results!$C$6,"Y","N")</f>
        <v>N</v>
      </c>
      <c r="I49" s="10" t="str">
        <f aca="false">'Label pairs'!M49</f>
        <v/>
      </c>
      <c r="J49" s="7" t="str">
        <f aca="false">IF(I49="","",IF(F49=I49,1,0))</f>
        <v/>
      </c>
      <c r="K49" s="7" t="str">
        <f aca="false">IF(I49="","",IF(H49=I49,1,0))</f>
        <v/>
      </c>
    </row>
    <row r="50" customFormat="false" ht="15" hidden="false" customHeight="false" outlineLevel="0" collapsed="false">
      <c r="A50" s="8" t="str">
        <f aca="false">'Label pairs'!A50</f>
        <v>P49</v>
      </c>
      <c r="B50" s="9" t="str">
        <f aca="false">'Label pairs'!B50</f>
        <v>Divya Menon</v>
      </c>
      <c r="C50" s="9" t="str">
        <f aca="false">'Label pairs'!F50</f>
        <v>Data Analyst</v>
      </c>
      <c r="D50" s="7" t="n">
        <v>100</v>
      </c>
      <c r="E50" s="7" t="s">
        <v>180</v>
      </c>
      <c r="F50" s="7" t="str">
        <f aca="false">IF(AND(D50&gt;=Results!$C$5,E50="Y"),"Y","N")</f>
        <v>Y</v>
      </c>
      <c r="G50" s="7" t="n">
        <v>4</v>
      </c>
      <c r="H50" s="7" t="str">
        <f aca="false">IF(G50&gt;=Results!$C$6,"Y","N")</f>
        <v>Y</v>
      </c>
      <c r="I50" s="10" t="str">
        <f aca="false">'Label pairs'!M50</f>
        <v/>
      </c>
      <c r="J50" s="7" t="str">
        <f aca="false">IF(I50="","",IF(F50=I50,1,0))</f>
        <v/>
      </c>
      <c r="K50" s="7" t="str">
        <f aca="false">IF(I50="","",IF(H50=I50,1,0))</f>
        <v/>
      </c>
    </row>
    <row r="51" customFormat="false" ht="15" hidden="false" customHeight="false" outlineLevel="0" collapsed="false">
      <c r="A51" s="8" t="str">
        <f aca="false">'Label pairs'!A51</f>
        <v>P50</v>
      </c>
      <c r="B51" s="9" t="str">
        <f aca="false">'Label pairs'!B51</f>
        <v>Aditya Kulkarni</v>
      </c>
      <c r="C51" s="9" t="str">
        <f aca="false">'Label pairs'!F51</f>
        <v>QA Automation Engineer</v>
      </c>
      <c r="D51" s="7" t="n">
        <v>75</v>
      </c>
      <c r="E51" s="7" t="s">
        <v>180</v>
      </c>
      <c r="F51" s="7" t="str">
        <f aca="false">IF(AND(D51&gt;=Results!$C$5,E51="Y"),"Y","N")</f>
        <v>Y</v>
      </c>
      <c r="G51" s="7" t="n">
        <v>3</v>
      </c>
      <c r="H51" s="7" t="str">
        <f aca="false">IF(G51&gt;=Results!$C$6,"Y","N")</f>
        <v>Y</v>
      </c>
      <c r="I51" s="10" t="str">
        <f aca="false">'Label pairs'!M51</f>
        <v/>
      </c>
      <c r="J51" s="7" t="str">
        <f aca="false">IF(I51="","",IF(F51=I51,1,0))</f>
        <v/>
      </c>
      <c r="K51" s="7" t="str">
        <f aca="false">IF(I51="","",IF(H51=I51,1,0))</f>
        <v/>
      </c>
    </row>
    <row r="52" customFormat="false" ht="15" hidden="false" customHeight="false" outlineLevel="0" collapsed="false">
      <c r="A52" s="8" t="str">
        <f aca="false">'Label pairs'!A52</f>
        <v>P51</v>
      </c>
      <c r="B52" s="9" t="str">
        <f aca="false">'Label pairs'!B52</f>
        <v>Meera Pillai</v>
      </c>
      <c r="C52" s="9" t="str">
        <f aca="false">'Label pairs'!F52</f>
        <v>Backend Engineer - Payments</v>
      </c>
      <c r="D52" s="7" t="n">
        <v>75</v>
      </c>
      <c r="E52" s="7" t="s">
        <v>180</v>
      </c>
      <c r="F52" s="7" t="str">
        <f aca="false">IF(AND(D52&gt;=Results!$C$5,E52="Y"),"Y","N")</f>
        <v>Y</v>
      </c>
      <c r="G52" s="7" t="n">
        <v>3</v>
      </c>
      <c r="H52" s="7" t="str">
        <f aca="false">IF(G52&gt;=Results!$C$6,"Y","N")</f>
        <v>Y</v>
      </c>
      <c r="I52" s="10" t="str">
        <f aca="false">'Label pairs'!M52</f>
        <v/>
      </c>
      <c r="J52" s="7" t="str">
        <f aca="false">IF(I52="","",IF(F52=I52,1,0))</f>
        <v/>
      </c>
      <c r="K52" s="7" t="str">
        <f aca="false">IF(I52="","",IF(H52=I52,1,0))</f>
        <v/>
      </c>
    </row>
    <row r="53" customFormat="false" ht="15" hidden="false" customHeight="false" outlineLevel="0" collapsed="false">
      <c r="A53" s="8" t="str">
        <f aca="false">'Label pairs'!A53</f>
        <v>P52</v>
      </c>
      <c r="B53" s="9" t="str">
        <f aca="false">'Label pairs'!B53</f>
        <v>Sneha Iyer</v>
      </c>
      <c r="C53" s="9" t="str">
        <f aca="false">'Label pairs'!F53</f>
        <v>Frontend Developer</v>
      </c>
      <c r="D53" s="7" t="n">
        <v>0</v>
      </c>
      <c r="E53" s="7" t="s">
        <v>180</v>
      </c>
      <c r="F53" s="7" t="str">
        <f aca="false">IF(AND(D53&gt;=Results!$C$5,E53="Y"),"Y","N")</f>
        <v>N</v>
      </c>
      <c r="G53" s="7" t="n">
        <v>0</v>
      </c>
      <c r="H53" s="7" t="str">
        <f aca="false">IF(G53&gt;=Results!$C$6,"Y","N")</f>
        <v>N</v>
      </c>
      <c r="I53" s="10" t="str">
        <f aca="false">'Label pairs'!M53</f>
        <v/>
      </c>
      <c r="J53" s="7" t="str">
        <f aca="false">IF(I53="","",IF(F53=I53,1,0))</f>
        <v/>
      </c>
      <c r="K53" s="7" t="str">
        <f aca="false">IF(I53="","",IF(H53=I53,1,0))</f>
        <v/>
      </c>
    </row>
    <row r="54" customFormat="false" ht="15" hidden="false" customHeight="false" outlineLevel="0" collapsed="false">
      <c r="A54" s="8" t="str">
        <f aca="false">'Label pairs'!A54</f>
        <v>P53</v>
      </c>
      <c r="B54" s="9" t="str">
        <f aca="false">'Label pairs'!B54</f>
        <v>Ananya Reddy</v>
      </c>
      <c r="C54" s="9" t="str">
        <f aca="false">'Label pairs'!F54</f>
        <v>Machine Learning Intern</v>
      </c>
      <c r="D54" s="7" t="n">
        <v>25</v>
      </c>
      <c r="E54" s="7" t="s">
        <v>180</v>
      </c>
      <c r="F54" s="7" t="str">
        <f aca="false">IF(AND(D54&gt;=Results!$C$5,E54="Y"),"Y","N")</f>
        <v>N</v>
      </c>
      <c r="G54" s="7" t="n">
        <v>1</v>
      </c>
      <c r="H54" s="7" t="str">
        <f aca="false">IF(G54&gt;=Results!$C$6,"Y","N")</f>
        <v>N</v>
      </c>
      <c r="I54" s="10" t="str">
        <f aca="false">'Label pairs'!M54</f>
        <v/>
      </c>
      <c r="J54" s="7" t="str">
        <f aca="false">IF(I54="","",IF(F54=I54,1,0))</f>
        <v/>
      </c>
      <c r="K54" s="7" t="str">
        <f aca="false">IF(I54="","",IF(H54=I54,1,0))</f>
        <v/>
      </c>
    </row>
    <row r="55" customFormat="false" ht="15" hidden="false" customHeight="false" outlineLevel="0" collapsed="false">
      <c r="A55" s="8" t="str">
        <f aca="false">'Label pairs'!A55</f>
        <v>P54</v>
      </c>
      <c r="B55" s="9" t="str">
        <f aca="false">'Label pairs'!B55</f>
        <v>Karthik Rao</v>
      </c>
      <c r="C55" s="9" t="str">
        <f aca="false">'Label pairs'!F55</f>
        <v>Software Engineer Trainee</v>
      </c>
      <c r="D55" s="7" t="n">
        <v>100</v>
      </c>
      <c r="E55" s="7" t="s">
        <v>180</v>
      </c>
      <c r="F55" s="7" t="str">
        <f aca="false">IF(AND(D55&gt;=Results!$C$5,E55="Y"),"Y","N")</f>
        <v>Y</v>
      </c>
      <c r="G55" s="7" t="n">
        <v>4</v>
      </c>
      <c r="H55" s="7" t="str">
        <f aca="false">IF(G55&gt;=Results!$C$6,"Y","N")</f>
        <v>Y</v>
      </c>
      <c r="I55" s="10" t="str">
        <f aca="false">'Label pairs'!M55</f>
        <v/>
      </c>
      <c r="J55" s="7" t="str">
        <f aca="false">IF(I55="","",IF(F55=I55,1,0))</f>
        <v/>
      </c>
      <c r="K55" s="7" t="str">
        <f aca="false">IF(I55="","",IF(H55=I55,1,0))</f>
        <v/>
      </c>
    </row>
    <row r="56" customFormat="false" ht="15" hidden="false" customHeight="false" outlineLevel="0" collapsed="false">
      <c r="A56" s="8" t="str">
        <f aca="false">'Label pairs'!A56</f>
        <v>P55</v>
      </c>
      <c r="B56" s="9" t="str">
        <f aca="false">'Label pairs'!B56</f>
        <v>Uma Krishnan</v>
      </c>
      <c r="C56" s="9" t="str">
        <f aca="false">'Label pairs'!F56</f>
        <v>Software Engineer Trainee</v>
      </c>
      <c r="D56" s="7" t="n">
        <v>25</v>
      </c>
      <c r="E56" s="7" t="s">
        <v>180</v>
      </c>
      <c r="F56" s="7" t="str">
        <f aca="false">IF(AND(D56&gt;=Results!$C$5,E56="Y"),"Y","N")</f>
        <v>N</v>
      </c>
      <c r="G56" s="7" t="n">
        <v>1</v>
      </c>
      <c r="H56" s="7" t="str">
        <f aca="false">IF(G56&gt;=Results!$C$6,"Y","N")</f>
        <v>N</v>
      </c>
      <c r="I56" s="10" t="str">
        <f aca="false">'Label pairs'!M56</f>
        <v/>
      </c>
      <c r="J56" s="7" t="str">
        <f aca="false">IF(I56="","",IF(F56=I56,1,0))</f>
        <v/>
      </c>
      <c r="K56" s="7" t="str">
        <f aca="false">IF(I56="","",IF(H56=I56,1,0))</f>
        <v/>
      </c>
    </row>
    <row r="57" customFormat="false" ht="15" hidden="false" customHeight="false" outlineLevel="0" collapsed="false">
      <c r="A57" s="8" t="str">
        <f aca="false">'Label pairs'!A57</f>
        <v>P56</v>
      </c>
      <c r="B57" s="9" t="str">
        <f aca="false">'Label pairs'!B57</f>
        <v>Varun Pillai</v>
      </c>
      <c r="C57" s="9" t="str">
        <f aca="false">'Label pairs'!F57</f>
        <v>Full Stack Developer</v>
      </c>
      <c r="D57" s="7" t="n">
        <v>40</v>
      </c>
      <c r="E57" s="7" t="s">
        <v>180</v>
      </c>
      <c r="F57" s="7" t="str">
        <f aca="false">IF(AND(D57&gt;=Results!$C$5,E57="Y"),"Y","N")</f>
        <v>N</v>
      </c>
      <c r="G57" s="7" t="n">
        <v>2</v>
      </c>
      <c r="H57" s="7" t="str">
        <f aca="false">IF(G57&gt;=Results!$C$6,"Y","N")</f>
        <v>Y</v>
      </c>
      <c r="I57" s="10" t="str">
        <f aca="false">'Label pairs'!M57</f>
        <v/>
      </c>
      <c r="J57" s="7" t="str">
        <f aca="false">IF(I57="","",IF(F57=I57,1,0))</f>
        <v/>
      </c>
      <c r="K57" s="7" t="str">
        <f aca="false">IF(I57="","",IF(H57=I57,1,0))</f>
        <v/>
      </c>
    </row>
    <row r="58" customFormat="false" ht="15" hidden="false" customHeight="false" outlineLevel="0" collapsed="false">
      <c r="A58" s="8" t="str">
        <f aca="false">'Label pairs'!A58</f>
        <v>P57</v>
      </c>
      <c r="B58" s="9" t="str">
        <f aca="false">'Label pairs'!B58</f>
        <v>Farhan Sheikh</v>
      </c>
      <c r="C58" s="9" t="str">
        <f aca="false">'Label pairs'!F58</f>
        <v>Microservices Developer</v>
      </c>
      <c r="D58" s="7" t="n">
        <v>0</v>
      </c>
      <c r="E58" s="7" t="s">
        <v>181</v>
      </c>
      <c r="F58" s="7" t="str">
        <f aca="false">IF(AND(D58&gt;=Results!$C$5,E58="Y"),"Y","N")</f>
        <v>N</v>
      </c>
      <c r="G58" s="7" t="n">
        <v>0</v>
      </c>
      <c r="H58" s="7" t="str">
        <f aca="false">IF(G58&gt;=Results!$C$6,"Y","N")</f>
        <v>N</v>
      </c>
      <c r="I58" s="10" t="str">
        <f aca="false">'Label pairs'!M58</f>
        <v/>
      </c>
      <c r="J58" s="7" t="str">
        <f aca="false">IF(I58="","",IF(F58=I58,1,0))</f>
        <v/>
      </c>
      <c r="K58" s="7" t="str">
        <f aca="false">IF(I58="","",IF(H58=I58,1,0))</f>
        <v/>
      </c>
    </row>
    <row r="59" customFormat="false" ht="15" hidden="false" customHeight="false" outlineLevel="0" collapsed="false">
      <c r="A59" s="8" t="str">
        <f aca="false">'Label pairs'!A59</f>
        <v>P58</v>
      </c>
      <c r="B59" s="9" t="str">
        <f aca="false">'Label pairs'!B59</f>
        <v>Ananya Reddy</v>
      </c>
      <c r="C59" s="9" t="str">
        <f aca="false">'Label pairs'!F59</f>
        <v>Backend Engineer - Payments</v>
      </c>
      <c r="D59" s="7" t="n">
        <v>100</v>
      </c>
      <c r="E59" s="7" t="s">
        <v>180</v>
      </c>
      <c r="F59" s="7" t="str">
        <f aca="false">IF(AND(D59&gt;=Results!$C$5,E59="Y"),"Y","N")</f>
        <v>Y</v>
      </c>
      <c r="G59" s="7" t="n">
        <v>4</v>
      </c>
      <c r="H59" s="7" t="str">
        <f aca="false">IF(G59&gt;=Results!$C$6,"Y","N")</f>
        <v>Y</v>
      </c>
      <c r="I59" s="10" t="str">
        <f aca="false">'Label pairs'!M59</f>
        <v/>
      </c>
      <c r="J59" s="7" t="str">
        <f aca="false">IF(I59="","",IF(F59=I59,1,0))</f>
        <v/>
      </c>
      <c r="K59" s="7" t="str">
        <f aca="false">IF(I59="","",IF(H59=I59,1,0))</f>
        <v/>
      </c>
    </row>
    <row r="60" customFormat="false" ht="15" hidden="false" customHeight="false" outlineLevel="0" collapsed="false">
      <c r="A60" s="8" t="str">
        <f aca="false">'Label pairs'!A60</f>
        <v>P59</v>
      </c>
      <c r="B60" s="9" t="str">
        <f aca="false">'Label pairs'!B60</f>
        <v>Manasa Gowda</v>
      </c>
      <c r="C60" s="9" t="str">
        <f aca="false">'Label pairs'!F60</f>
        <v>Java Backend Developer</v>
      </c>
      <c r="D60" s="7" t="n">
        <v>60</v>
      </c>
      <c r="E60" s="7" t="s">
        <v>180</v>
      </c>
      <c r="F60" s="7" t="str">
        <f aca="false">IF(AND(D60&gt;=Results!$C$5,E60="Y"),"Y","N")</f>
        <v>N</v>
      </c>
      <c r="G60" s="7" t="n">
        <v>3</v>
      </c>
      <c r="H60" s="7" t="str">
        <f aca="false">IF(G60&gt;=Results!$C$6,"Y","N")</f>
        <v>Y</v>
      </c>
      <c r="I60" s="10" t="str">
        <f aca="false">'Label pairs'!M60</f>
        <v/>
      </c>
      <c r="J60" s="7" t="str">
        <f aca="false">IF(I60="","",IF(F60=I60,1,0))</f>
        <v/>
      </c>
      <c r="K60" s="7" t="str">
        <f aca="false">IF(I60="","",IF(H60=I60,1,0))</f>
        <v/>
      </c>
    </row>
    <row r="61" customFormat="false" ht="15" hidden="false" customHeight="false" outlineLevel="0" collapsed="false">
      <c r="A61" s="8" t="str">
        <f aca="false">'Label pairs'!A61</f>
        <v>P60</v>
      </c>
      <c r="B61" s="9" t="str">
        <f aca="false">'Label pairs'!B61</f>
        <v>Arjun Patel</v>
      </c>
      <c r="C61" s="9" t="str">
        <f aca="false">'Label pairs'!F61</f>
        <v>Full Stack Developer</v>
      </c>
      <c r="D61" s="7" t="n">
        <v>40</v>
      </c>
      <c r="E61" s="7" t="s">
        <v>180</v>
      </c>
      <c r="F61" s="7" t="str">
        <f aca="false">IF(AND(D61&gt;=Results!$C$5,E61="Y"),"Y","N")</f>
        <v>N</v>
      </c>
      <c r="G61" s="7" t="n">
        <v>2</v>
      </c>
      <c r="H61" s="7" t="str">
        <f aca="false">IF(G61&gt;=Results!$C$6,"Y","N")</f>
        <v>Y</v>
      </c>
      <c r="I61" s="10" t="str">
        <f aca="false">'Label pairs'!M61</f>
        <v/>
      </c>
      <c r="J61" s="7" t="str">
        <f aca="false">IF(I61="","",IF(F61=I61,1,0))</f>
        <v/>
      </c>
      <c r="K61" s="7" t="str">
        <f aca="false">IF(I61="","",IF(H61=I61,1,0))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52"/>
  </cols>
  <sheetData>
    <row r="2" customFormat="false" ht="17.35" hidden="false" customHeight="false" outlineLevel="0" collapsed="false">
      <c r="B2" s="11" t="s">
        <v>182</v>
      </c>
    </row>
    <row r="4" customFormat="false" ht="15" hidden="false" customHeight="false" outlineLevel="0" collapsed="false">
      <c r="B4" s="12" t="s">
        <v>183</v>
      </c>
    </row>
    <row r="5" customFormat="false" ht="15" hidden="false" customHeight="false" outlineLevel="0" collapsed="false">
      <c r="B5" s="13" t="s">
        <v>184</v>
      </c>
      <c r="C5" s="14" t="n">
        <v>70</v>
      </c>
      <c r="E5" s="13" t="s">
        <v>185</v>
      </c>
    </row>
    <row r="6" customFormat="false" ht="15" hidden="false" customHeight="false" outlineLevel="0" collapsed="false">
      <c r="B6" s="13" t="s">
        <v>186</v>
      </c>
      <c r="C6" s="14" t="n">
        <v>2</v>
      </c>
      <c r="E6" s="13" t="s">
        <v>187</v>
      </c>
    </row>
    <row r="8" customFormat="false" ht="15" hidden="false" customHeight="false" outlineLevel="0" collapsed="false">
      <c r="B8" s="13" t="s">
        <v>188</v>
      </c>
      <c r="C8" s="13" t="n">
        <f aca="false">COUNTIF(Predictions!$I$2:$I$61,"Y")+COUNTIF(Predictions!$I$2:$I$61,"N")</f>
        <v>0</v>
      </c>
    </row>
    <row r="9" customFormat="false" ht="15" hidden="false" customHeight="false" outlineLevel="0" collapsed="false">
      <c r="B9" s="13" t="s">
        <v>189</v>
      </c>
      <c r="C9" s="13" t="n">
        <f aca="false">COUNTIF(Predictions!$I$2:$I$61,"Y")</f>
        <v>0</v>
      </c>
    </row>
    <row r="10" customFormat="false" ht="15" hidden="false" customHeight="false" outlineLevel="0" collapsed="false">
      <c r="B10" s="13" t="s">
        <v>190</v>
      </c>
      <c r="C10" s="15" t="str">
        <f aca="false">IF(C8=0,"-",SUMPRODUCT(--('Label pairs'!$M$2:$M$61&lt;&gt;""),((('Label pairs'!$J$2:$J$61="Y")+('Label pairs'!$K$2:$K$61="Y")+('Label pairs'!$L$2:$L$61="Y"))=0)+((('Label pairs'!$J$2:$J$61="Y")+('Label pairs'!$K$2:$K$61="Y")+('Label pairs'!$L$2:$L$61="Y"))=3))/C8)</f>
        <v>-</v>
      </c>
      <c r="E10" s="13" t="s">
        <v>191</v>
      </c>
    </row>
    <row r="12" customFormat="false" ht="15" hidden="false" customHeight="false" outlineLevel="0" collapsed="false">
      <c r="B12" s="16" t="s">
        <v>192</v>
      </c>
      <c r="C12" s="16" t="s">
        <v>193</v>
      </c>
      <c r="D12" s="16" t="s">
        <v>194</v>
      </c>
      <c r="E12" s="16" t="s">
        <v>195</v>
      </c>
    </row>
    <row r="13" customFormat="false" ht="15" hidden="false" customHeight="false" outlineLevel="0" collapsed="false">
      <c r="B13" s="17" t="s">
        <v>196</v>
      </c>
      <c r="C13" s="18" t="str">
        <f aca="false">IF($C$8=0,"-",(COUNTIFS(Predictions!$F$2:$F$61,"Y",Predictions!$I$2:$I$61,"Y")+COUNTIFS(Predictions!$F$2:$F$61,"N",Predictions!$I$2:$I$61,"N"))/$C$8)</f>
        <v>-</v>
      </c>
      <c r="D13" s="18" t="str">
        <f aca="false">IF($C$8=0,"-",(COUNTIFS(Predictions!$H$2:$H$61,"Y",Predictions!$I$2:$I$61,"Y")+COUNTIFS(Predictions!$H$2:$H$61,"N",Predictions!$I$2:$I$61,"N"))/$C$8)</f>
        <v>-</v>
      </c>
      <c r="E13" s="19" t="s">
        <v>197</v>
      </c>
    </row>
    <row r="14" customFormat="false" ht="15" hidden="false" customHeight="false" outlineLevel="0" collapsed="false">
      <c r="B14" s="17" t="s">
        <v>198</v>
      </c>
      <c r="C14" s="18" t="str">
        <f aca="false">IF((COUNTIFS(Predictions!$F$2:$F$61,"Y",Predictions!$I$2:$I$61,"Y")+COUNTIFS(Predictions!$F$2:$F$61,"Y",Predictions!$I$2:$I$61,"N"))=0,"-",COUNTIFS(Predictions!$F$2:$F$61,"Y",Predictions!$I$2:$I$61,"Y")/(COUNTIFS(Predictions!$F$2:$F$61,"Y",Predictions!$I$2:$I$61,"Y")+COUNTIFS(Predictions!$F$2:$F$61,"Y",Predictions!$I$2:$I$61,"N")))</f>
        <v>-</v>
      </c>
      <c r="D14" s="18" t="str">
        <f aca="false">IF((COUNTIFS(Predictions!$H$2:$H$61,"Y",Predictions!$I$2:$I$61,"Y")+COUNTIFS(Predictions!$H$2:$H$61,"Y",Predictions!$I$2:$I$61,"N"))=0,"-",COUNTIFS(Predictions!$H$2:$H$61,"Y",Predictions!$I$2:$I$61,"Y")/(COUNTIFS(Predictions!$H$2:$H$61,"Y",Predictions!$I$2:$I$61,"Y")+COUNTIFS(Predictions!$H$2:$H$61,"Y",Predictions!$I$2:$I$61,"N")))</f>
        <v>-</v>
      </c>
      <c r="E14" s="19" t="s">
        <v>199</v>
      </c>
    </row>
    <row r="15" customFormat="false" ht="15" hidden="false" customHeight="false" outlineLevel="0" collapsed="false">
      <c r="B15" s="17" t="s">
        <v>200</v>
      </c>
      <c r="C15" s="18" t="str">
        <f aca="false">IF((COUNTIFS(Predictions!$F$2:$F$61,"Y",Predictions!$I$2:$I$61,"Y")+COUNTIFS(Predictions!$F$2:$F$61,"N",Predictions!$I$2:$I$61,"Y"))=0,"-",COUNTIFS(Predictions!$F$2:$F$61,"Y",Predictions!$I$2:$I$61,"Y")/(COUNTIFS(Predictions!$F$2:$F$61,"Y",Predictions!$I$2:$I$61,"Y")+COUNTIFS(Predictions!$F$2:$F$61,"N",Predictions!$I$2:$I$61,"Y")))</f>
        <v>-</v>
      </c>
      <c r="D15" s="18" t="str">
        <f aca="false">IF((COUNTIFS(Predictions!$H$2:$H$61,"Y",Predictions!$I$2:$I$61,"Y")+COUNTIFS(Predictions!$H$2:$H$61,"N",Predictions!$I$2:$I$61,"Y"))=0,"-",COUNTIFS(Predictions!$H$2:$H$61,"Y",Predictions!$I$2:$I$61,"Y")/(COUNTIFS(Predictions!$H$2:$H$61,"Y",Predictions!$I$2:$I$61,"Y")+COUNTIFS(Predictions!$H$2:$H$61,"N",Predictions!$I$2:$I$61,"Y")))</f>
        <v>-</v>
      </c>
      <c r="E15" s="19" t="s">
        <v>201</v>
      </c>
    </row>
    <row r="16" customFormat="false" ht="15" hidden="false" customHeight="false" outlineLevel="0" collapsed="false">
      <c r="B16" s="17" t="s">
        <v>202</v>
      </c>
      <c r="C16" s="18" t="str">
        <f aca="false">IF(OR(C14="-",C15="-"),"-",IF((C14+C15)=0,0,2*C14*C15/(C14+C15)))</f>
        <v>-</v>
      </c>
      <c r="D16" s="18" t="str">
        <f aca="false">IF(OR(D14="-",D15="-"),"-",IF((D14+D15)=0,0,2*D14*D15/(D14+D15)))</f>
        <v>-</v>
      </c>
      <c r="E16" s="19" t="s">
        <v>203</v>
      </c>
    </row>
    <row r="17" customFormat="false" ht="15" hidden="false" customHeight="false" outlineLevel="0" collapsed="false">
      <c r="B17" s="17" t="s">
        <v>204</v>
      </c>
      <c r="C17" s="20" t="n">
        <f aca="false">COUNTIFS(Predictions!$F$2:$F$61,"Y",Predictions!$I$2:$I$61,"Y")</f>
        <v>0</v>
      </c>
      <c r="D17" s="20" t="n">
        <f aca="false">COUNTIFS(Predictions!$H$2:$H$61,"Y",Predictions!$I$2:$I$61,"Y")</f>
        <v>0</v>
      </c>
      <c r="E17" s="19"/>
    </row>
    <row r="18" customFormat="false" ht="15" hidden="false" customHeight="false" outlineLevel="0" collapsed="false">
      <c r="B18" s="17" t="s">
        <v>205</v>
      </c>
      <c r="C18" s="20" t="n">
        <f aca="false">COUNTIFS(Predictions!$F$2:$F$61,"Y",Predictions!$I$2:$I$61,"N")</f>
        <v>0</v>
      </c>
      <c r="D18" s="20" t="n">
        <f aca="false">COUNTIFS(Predictions!$H$2:$H$61,"Y",Predictions!$I$2:$I$61,"N")</f>
        <v>0</v>
      </c>
      <c r="E18" s="19" t="s">
        <v>206</v>
      </c>
    </row>
    <row r="19" customFormat="false" ht="15" hidden="false" customHeight="false" outlineLevel="0" collapsed="false">
      <c r="B19" s="17" t="s">
        <v>207</v>
      </c>
      <c r="C19" s="20" t="n">
        <f aca="false">COUNTIFS(Predictions!$F$2:$F$61,"N",Predictions!$I$2:$I$61,"Y")</f>
        <v>0</v>
      </c>
      <c r="D19" s="20" t="n">
        <f aca="false">COUNTIFS(Predictions!$H$2:$H$61,"N",Predictions!$I$2:$I$61,"Y")</f>
        <v>0</v>
      </c>
      <c r="E19" s="19"/>
    </row>
    <row r="20" customFormat="false" ht="15" hidden="false" customHeight="false" outlineLevel="0" collapsed="false">
      <c r="B20" s="17" t="s">
        <v>208</v>
      </c>
      <c r="C20" s="20" t="n">
        <f aca="false">COUNTIFS(Predictions!$F$2:$F$61,"N",Predictions!$I$2:$I$61,"N")</f>
        <v>0</v>
      </c>
      <c r="D20" s="20" t="n">
        <f aca="false">COUNTIFS(Predictions!$H$2:$H$61,"N",Predictions!$I$2:$I$61,"N")</f>
        <v>0</v>
      </c>
      <c r="E20" s="19"/>
    </row>
    <row r="22" customFormat="false" ht="15" hidden="false" customHeight="false" outlineLevel="0" collapsed="false">
      <c r="B22" s="21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2026-10-03T12:02:30Z</dcterms:created>
  <dc:creator>openpyxl</dc:creator>
  <dc:description/>
  <dc:language>en-US</dc:language>
  <cp:lastModifiedBy/>
  <dcterms:modified xsi:type="dcterms:W3CDTF">2026-10-03T12:02:46Z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